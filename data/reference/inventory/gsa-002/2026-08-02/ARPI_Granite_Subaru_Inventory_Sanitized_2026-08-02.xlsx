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7891685b0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3e2ea3bf1b94ce5"/>
    <x:sheet xmlns:r="http://schemas.openxmlformats.org/officeDocument/2006/relationships" name="Summary" sheetId="2" r:id="R49bd0a9860884fd3"/>
    <x:sheet xmlns:r="http://schemas.openxmlformats.org/officeDocument/2006/relationships" name="Inventory" sheetId="3" r:id="R9040f30bc9c24dc0"/>
    <x:sheet xmlns:r="http://schemas.openxmlformats.org/officeDocument/2006/relationships" name="Model Summary" sheetId="4" r:id="R9964d28ead8c4f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#,##0"/>
    <x:numFmt numFmtId="203" formatCode="$#,##0"/>
  </x:numFmts>
  <x:fonts count="8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23047"/>
      <x:name val="Carlito"/>
    </x:font>
    <x:font>
      <x:b/>
      <x:sz val="12"/>
      <x:color rgb="FFFFFFFF"/>
      <x:name val="Carlito"/>
    </x:font>
    <x:font>
      <x:b/>
      <x:sz val="10"/>
      <x:color rgb="FFFFFFFF"/>
      <x:name val="Carlito"/>
    </x:font>
    <x:font>
      <x:i/>
      <x:sz val="11"/>
      <x:color rgb="FF123047"/>
      <x:name val="Carlito"/>
    </x:font>
    <x:font>
      <x:sz val="11"/>
      <x:color rgb="FF123047"/>
      <x:name val="Carlito"/>
    </x:font>
    <x:font>
      <x:i/>
      <x:sz val="11"/>
      <x:color rgb="FF45545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4F8"/>
      </x:patternFill>
    </x:fill>
    <x:fill>
      <x:patternFill patternType="solid">
        <x:fgColor rgb="FF0A6C8B"/>
      </x:patternFill>
    </x:fill>
    <x:fill>
      <x:patternFill patternType="solid">
        <x:fgColor rgb="FFFFF3D6"/>
      </x:patternFill>
    </x:fill>
    <x:fill>
      <x:patternFill patternType="solid">
        <x:fgColor rgb="FFDCEFF5"/>
      </x:patternFill>
    </x:fill>
    <x:fill>
      <x:patternFill patternType="solid">
        <x:fgColor rgb="FFF5F8FA"/>
      </x:patternFill>
    </x:fill>
  </x:fills>
  <x:borders count="2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bottom/>
    </x:border>
    <x:border>
      <x:bottom/>
    </x:border>
  </x:borders>
  <x:cellStyleXfs count="1">
    <x:xf numFmtId="0" fontId="0" fillId="0" borderId="0"/>
  </x:cellStyleXfs>
  <x:cellXfs count="3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200" fontId="0" fillId="0" borderId="5" xfId="0" applyNumberFormat="1" applyFont="1" applyFill="1" applyBorder="1"/>
    <x:xf numFmtId="200" fontId="0" fillId="0" borderId="1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14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15" xfId="0" applyNumberFormat="1" applyFont="1" applyFill="1" applyBorder="1"/>
    <x:xf numFmtId="0" fontId="5" fillId="5" borderId="7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16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7" xfId="0" applyNumberFormat="1" applyFont="1" applyFill="1" applyBorder="1"/>
    <x:xf numFmtId="0" fontId="5" fillId="5" borderId="13" xfId="0" applyNumberFormat="1" applyFont="1" applyFill="1" applyBorder="1"/>
    <x:xf numFmtId="0" fontId="5" fillId="5" borderId="8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2" fillId="3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/>
    <x:xf numFmtId="0" fontId="2" fillId="3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4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15" xfId="0" applyNumberFormat="1" applyFont="1" applyFill="1" applyBorder="1"/>
    <x:xf numFmtId="0" fontId="5" fillId="6" borderId="7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14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15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8" xfId="0" applyNumberFormat="1" applyFont="1" applyFill="1" applyBorder="1"/>
    <x:xf numFmtId="0" fontId="5" fillId="6" borderId="16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7" xfId="0" applyNumberFormat="1" applyFont="1" applyFill="1" applyBorder="1"/>
    <x:xf numFmtId="0" fontId="5" fillId="6" borderId="13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16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5" fillId="6" borderId="17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0" xfId="0" applyNumberFormat="1" applyFont="1" applyFill="1" applyBorder="1"/>
    <x:xf numFmtId="200" fontId="0" fillId="0" borderId="22" xfId="0" applyNumberFormat="1" applyFont="1" applyFill="1" applyBorder="1"/>
    <x:xf numFmtId="200" fontId="0" fillId="0" borderId="1" xfId="0" applyNumberFormat="1" applyFont="1" applyFill="1" applyBorder="1"/>
    <x:xf numFmtId="200" fontId="0" fillId="0" borderId="23" xfId="0" applyNumberFormat="1" applyFont="1" applyFill="1" applyBorder="1"/>
    <x:xf numFmtId="201" fontId="0" fillId="0" borderId="0" xfId="0" applyNumberFormat="1" applyFont="1" applyFill="1" applyBorder="1"/>
    <x:xf numFmtId="201" fontId="0" fillId="0" borderId="22" xfId="0" applyNumberFormat="1" applyFont="1" applyFill="1" applyBorder="1"/>
    <x:xf numFmtId="201" fontId="0" fillId="0" borderId="1" xfId="0" applyNumberFormat="1" applyFont="1" applyFill="1" applyBorder="1"/>
    <x:xf numFmtId="201" fontId="0" fillId="0" borderId="23" xfId="0" applyNumberFormat="1" applyFont="1" applyFill="1" applyBorder="1"/>
    <x:xf numFmtId="202" fontId="0" fillId="0" borderId="0" xfId="0" applyNumberFormat="1" applyFont="1" applyFill="1" applyBorder="1"/>
    <x:xf numFmtId="202" fontId="0" fillId="0" borderId="22" xfId="0" applyNumberFormat="1" applyFont="1" applyFill="1" applyBorder="1"/>
    <x:xf numFmtId="202" fontId="0" fillId="0" borderId="1" xfId="0" applyNumberFormat="1" applyFont="1" applyFill="1" applyBorder="1"/>
    <x:xf numFmtId="202" fontId="0" fillId="0" borderId="23" xfId="0" applyNumberFormat="1" applyFont="1" applyFill="1" applyBorder="1"/>
    <x:xf numFmtId="203" fontId="0" fillId="0" borderId="0" xfId="0" applyNumberFormat="1" applyFont="1" applyFill="1" applyBorder="1"/>
    <x:xf numFmtId="203" fontId="0" fillId="0" borderId="22" xfId="0" applyNumberFormat="1" applyFont="1" applyFill="1" applyBorder="1"/>
    <x:xf numFmtId="203" fontId="0" fillId="0" borderId="1" xfId="0" applyNumberFormat="1" applyFont="1" applyFill="1" applyBorder="1"/>
    <x:xf numFmtId="203" fontId="0" fillId="0" borderId="23" xfId="0" applyNumberFormat="1" applyFont="1" applyFill="1" applyBorder="1"/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202" fontId="0" fillId="0" borderId="5" xfId="0" applyNumberFormat="1" applyFont="1" applyFill="1" applyBorder="1"/>
    <x:xf numFmtId="202" fontId="0" fillId="0" borderId="11" xfId="0" applyNumberFormat="1" applyFont="1" applyFill="1" applyBorder="1"/>
    <x:xf numFmtId="203" fontId="0" fillId="0" borderId="5" xfId="0" applyNumberFormat="1" applyFont="1" applyFill="1" applyBorder="1"/>
    <x:xf numFmtId="203" fontId="0" fillId="0" borderId="7" xfId="0" applyNumberFormat="1" applyFont="1" applyFill="1" applyBorder="1"/>
    <x:xf numFmtId="203" fontId="0" fillId="0" borderId="11" xfId="0" applyNumberFormat="1" applyFont="1" applyFill="1" applyBorder="1"/>
    <x:xf numFmtId="203" fontId="0" fillId="0" borderId="13" xfId="0" applyNumberFormat="1" applyFont="1" applyFill="1" applyBorder="1"/>
    <x:xf numFmtId="202" fontId="0" fillId="0" borderId="7" xfId="0" applyNumberFormat="1" applyFont="1" applyFill="1" applyBorder="1"/>
    <x:xf numFmtId="202" fontId="0" fillId="0" borderId="13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14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15" xfId="0" applyNumberFormat="1" applyFont="1" applyFill="1" applyBorder="1"/>
    <x:xf numFmtId="0" fontId="6" fillId="5" borderId="7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/>
    <x:xf numFmtId="0" fontId="6" fillId="5" borderId="8" xfId="0" applyNumberFormat="1" applyFont="1" applyFill="1" applyBorder="1"/>
    <x:xf numFmtId="0" fontId="6" fillId="5" borderId="16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7" xfId="0" applyNumberFormat="1" applyFont="1" applyFill="1" applyBorder="1"/>
    <x:xf numFmtId="0" fontId="6" fillId="5" borderId="13" xfId="0" applyNumberFormat="1" applyFont="1" applyFill="1" applyBorder="1"/>
    <x:xf numFmtId="0" fontId="6" fillId="5" borderId="8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7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16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12" xfId="0" applyNumberFormat="1" applyFont="1" applyFill="1" applyBorder="1" applyAlignment="1">
      <x:alignment vertical="center" wrapText="1"/>
    </x:xf>
    <x:xf numFmtId="0" fontId="6" fillId="5" borderId="17" xfId="0" applyNumberFormat="1" applyFont="1" applyFill="1" applyBorder="1" applyAlignment="1">
      <x:alignment vertical="center" wrapText="1"/>
    </x:xf>
    <x:xf numFmtId="0" fontId="6" fillId="5" borderId="13" xfId="0" applyNumberFormat="1" applyFont="1" applyFill="1" applyBorder="1" applyAlignment="1">
      <x:alignment vertical="center" wrapText="1"/>
    </x:xf>
    <x:xf numFmtId="0" fontId="4" fillId="2" borderId="14" xfId="0" applyNumberFormat="1" applyFont="1" applyFill="1" applyBorder="1" applyAlignment="1">
      <x:alignment horizontal="center" vertical="center" wrapText="1"/>
    </x:xf>
    <x:xf numFmtId="0" fontId="4" fillId="2" borderId="16" xfId="0" applyNumberFormat="1" applyFont="1" applyFill="1" applyBorder="1" applyAlignment="1">
      <x:alignment horizontal="center" vertical="center" wrapText="1"/>
    </x:xf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201" fontId="0" fillId="0" borderId="11" xfId="0" applyNumberFormat="1" applyFont="1" applyFill="1" applyBorder="1"/>
    <x:xf numFmtId="201" fontId="0" fillId="0" borderId="13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14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15" xfId="0" applyNumberFormat="1" applyFont="1" applyFill="1" applyBorder="1"/>
    <x:xf numFmtId="0" fontId="7" fillId="7" borderId="7" xfId="0" applyNumberFormat="1" applyFont="1" applyFill="1" applyBorder="1"/>
    <x:xf numFmtId="0" fontId="7" fillId="7" borderId="2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8" xfId="0" applyNumberFormat="1" applyFont="1" applyFill="1" applyBorder="1"/>
    <x:xf numFmtId="0" fontId="7" fillId="7" borderId="16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7" xfId="0" applyNumberFormat="1" applyFont="1" applyFill="1" applyBorder="1"/>
    <x:xf numFmtId="0" fontId="7" fillId="7" borderId="13" xfId="0" applyNumberFormat="1" applyFont="1" applyFill="1" applyBorder="1"/>
    <x:xf numFmtId="0" fontId="7" fillId="7" borderId="8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0" fontId="7" fillId="7" borderId="17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7" fillId="7" borderId="1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7" fillId="7" borderId="12" xfId="0" applyNumberFormat="1" applyFont="1" applyFill="1" applyBorder="1" applyAlignment="1">
      <x:alignment vertical="center" wrapText="1"/>
    </x:xf>
    <x:xf numFmtId="0" fontId="7" fillId="7" borderId="17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/>
    <x:xf numFmtId="201" fontId="0" fillId="0" borderId="17" xfId="0" applyNumberFormat="1" applyFont="1" applyFill="1" applyBorder="1"/>
    <x:xf numFmtId="203" fontId="0" fillId="0" borderId="15" xfId="0" applyNumberFormat="1" applyFont="1" applyFill="1" applyBorder="1"/>
  </x:cellXfs>
  <x:cellStyles count="1">
    <x:cellStyle name="Normal" xfId="0"/>
  </x:cellStyles>
  <x:dxfs count="1">
    <x:dxf>
      <x:font>
        <x:b/>
        <x:color rgb="FF07556E"/>
      </x:font>
      <x:fill>
        <x:patternFill patternType="solid">
          <x:bgColor rgb="FFEAF4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bcfc5bb054361" /><Relationship Type="http://schemas.openxmlformats.org/officeDocument/2006/relationships/theme" Target="/xl/theme/theme1.xml" Id="R6d539b013be24661" /><Relationship Type="http://schemas.openxmlformats.org/officeDocument/2006/relationships/sharedStrings" Target="/xl/sharedStrings.xml" Id="Rca59266524d64fb8" /><Relationship Type="http://schemas.openxmlformats.org/officeDocument/2006/relationships/worksheet" Target="/xl/worksheets/sheet1.xml" Id="Rd3e2ea3bf1b94ce5" /><Relationship Type="http://schemas.openxmlformats.org/officeDocument/2006/relationships/worksheet" Target="/xl/worksheets/sheet2.xml" Id="R49bd0a9860884fd3" /><Relationship Type="http://schemas.openxmlformats.org/officeDocument/2006/relationships/worksheet" Target="/xl/worksheets/sheet3.xml" Id="R9040f30bc9c24dc0" /><Relationship Type="http://schemas.openxmlformats.org/officeDocument/2006/relationships/worksheet" Target="/xl/worksheets/sheet4.xml" Id="R9964d28ead8c4f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2829b11fa841d6" /><Relationship Type="http://schemas.openxmlformats.org/officeDocument/2006/relationships/chart" Target="/xl/drawings/charts/chart2.xml" Id="R5b8abaadf27f4b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Visible listings by condition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'Summary'!$D$5:$D$6</c:f>
              <c:strCache>
                <c:ptCount val="0"/>
              </c:strCache>
            </c:strRef>
          </c:cat>
          <c:val>
            <c:numRef>
              <c:f>'Summary'!$E$5:$E$6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visible models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Units</c:v>
          </c:tx>
          <c:cat>
            <c:strRef>
              <c:f>'Summary'!$C$28:$C$37</c:f>
              <c:strCache>
                <c:ptCount val="0"/>
              </c:strCache>
            </c:strRef>
          </c:cat>
          <c:val>
            <c:numRef>
              <c:f>'Summary'!$D$28:$D$37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2829b11fa841d6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8abaadf27f4b5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baruInventoryListingSnapshot" displayName="SubaruInventoryListingSnapshot" ref="A1:S25" headerRowCount="1">
  <x:tableColumns count="19">
    <x:tableColumn id="1" name="Source Record ID"/>
    <x:tableColumn id="2" name="Dealership ID"/>
    <x:tableColumn id="3" name="Store Name"/>
    <x:tableColumn id="4" name="Captured At"/>
    <x:tableColumn id="5" name="Source Batch ID"/>
    <x:tableColumn id="6" name="Source Feed"/>
    <x:tableColumn id="7" name="Condition"/>
    <x:tableColumn id="8" name="Model Year"/>
    <x:tableColumn id="9" name="Make"/>
    <x:tableColumn id="10" name="Model"/>
    <x:tableColumn id="11" name="Trim"/>
    <x:tableColumn id="12" name="Vehicle Display"/>
    <x:tableColumn id="13" name="Odometer Miles"/>
    <x:tableColumn id="14" name="Advertised Price"/>
    <x:tableColumn id="15" name="Pricing Status"/>
    <x:tableColumn id="16" name="Synthetic Vehicle ID"/>
    <x:tableColumn id="17" name="Synthetic VIN"/>
    <x:tableColumn id="18" name="Inventory Unit Count"/>
    <x:tableColumn id="19" name="Data Classification"/>
  </x:tableColumns>
  <x:tableStyleInfo name="TableStyleMedium2" showRowStripes="1"/>
</x:table>
</file>

<file path=xl/tables/table2.xml><?xml version="1.0" encoding="utf-8"?>
<x:table xmlns:x="http://schemas.openxmlformats.org/spreadsheetml/2006/main" id="2" name="SubaruInventoryModelSummary" displayName="SubaruInventoryModelSummary" ref="A4:I21" headerRowCount="1">
  <x:tableColumns count="9">
    <x:tableColumn id="1" name="Condition"/>
    <x:tableColumn id="2" name="Make"/>
    <x:tableColumn id="3" name="Model"/>
    <x:tableColumn id="4" name="Visible Units"/>
    <x:tableColumn id="5" name="Listed Units"/>
    <x:tableColumn id="6" name="Call for Price"/>
    <x:tableColumn id="7" name="Average Advertised Price"/>
    <x:tableColumn id="8" name="Minimum Advertised Price"/>
    <x:tableColumn id="9" name="Maximum Advertised Pri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c6deaed0a4442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41af59915e04e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8be4b822fb6442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6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5" t="str">
        <x:v>ARPI Inventory Operations | Sanitized Public Reference Artifact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 ht="24" customHeight="1">
      <x:c r="A4" s="16" t="str">
        <x:v>Artifact</x:v>
      </x:c>
      <x:c r="B4" s="17" t="str">
        <x:v>Granite Subaru inventory listing snapshot</x:v>
      </x:c>
    </x:row>
    <x:row r="5" ht="24" customHeight="1">
      <x:c r="A5" s="18" t="str">
        <x:v>Dealer group</x:v>
      </x:c>
      <x:c r="B5" s="19" t="str">
        <x:v>Granite Auto Group</x:v>
      </x:c>
    </x:row>
    <x:row r="6" ht="24" customHeight="1">
      <x:c r="A6" s="18" t="str">
        <x:v>Store</x:v>
      </x:c>
      <x:c r="B6" s="19" t="str">
        <x:v>Granite Subaru of Manchester</x:v>
      </x:c>
    </x:row>
    <x:row r="7" ht="24" customHeight="1">
      <x:c r="A7" s="18" t="str">
        <x:v>Dealership ID</x:v>
      </x:c>
      <x:c r="B7" s="19" t="str">
        <x:v>GSA-002</x:v>
      </x:c>
    </x:row>
    <x:row r="8" ht="24" customHeight="1">
      <x:c r="A8" s="18" t="str">
        <x:v>Market</x:v>
      </x:c>
      <x:c r="B8" s="19" t="str">
        <x:v>Southern New Hampshire</x:v>
      </x:c>
    </x:row>
    <x:row r="9" ht="24" customHeight="1">
      <x:c r="A9" s="18" t="str">
        <x:v>Snapshot date</x:v>
      </x:c>
      <x:c r="B9" s="28" t="n">
        <x:v>46236</x:v>
      </x:c>
    </x:row>
    <x:row r="10" ht="24" customHeight="1">
      <x:c r="A10" s="18" t="str">
        <x:v>Source type</x:v>
      </x:c>
      <x:c r="B10" s="19" t="str">
        <x:v>Public inventory listing snapshot, de-identified for portfolio use</x:v>
      </x:c>
    </x:row>
    <x:row r="11" ht="24" customHeight="1">
      <x:c r="A11" s="18" t="str">
        <x:v>Classification</x:v>
      </x:c>
      <x:c r="B11" s="19" t="str">
        <x:v>Sanitized public reference data</x:v>
      </x:c>
    </x:row>
    <x:row r="12" ht="24" customHeight="1">
      <x:c r="A12" s="18" t="str">
        <x:v>Coverage status</x:v>
      </x:c>
      <x:c r="B12" s="19" t="str">
        <x:v>Partial public reference sample</x:v>
      </x:c>
    </x:row>
    <x:row r="13" ht="24" customHeight="1">
      <x:c r="A13" s="18" t="str">
        <x:v>Reference row count</x:v>
      </x:c>
      <x:c r="B13" s="19" t="n">
        <x:v>24</x:v>
      </x:c>
    </x:row>
    <x:row r="14" ht="24" customHeight="1">
      <x:c r="A14" s="20" t="str">
        <x:v>Sanitization version</x:v>
      </x:c>
      <x:c r="B14" s="21" t="str">
        <x:v>1.0</x:v>
      </x:c>
    </x:row>
    <x:row r="16">
      <x:c r="A16" s="33" t="str">
        <x:v>Sanitization controls applied</x:v>
      </x:c>
      <x:c r="B16" s="33"/>
      <x:c r="C16" s="33"/>
      <x:c r="D16" s="33"/>
      <x:c r="E16" s="33"/>
      <x:c r="F16" s="33"/>
      <x:c r="G16" s="33"/>
      <x:c r="H16" s="33"/>
    </x:row>
    <x:row r="17" ht="34" customHeight="1">
      <x:c r="A17" s="41" t="str">
        <x:v>Control</x:v>
      </x:c>
      <x:c r="B17" s="41" t="str">
        <x:v>Result</x:v>
      </x:c>
      <x:c r="C17" s="41" t="str">
        <x:v>Public artifact treatment</x:v>
      </x:c>
      <x:c r="D17" s="41"/>
      <x:c r="E17" s="41"/>
      <x:c r="F17" s="41"/>
      <x:c r="G17" s="41"/>
      <x:c r="H17" s="41"/>
    </x:row>
    <x:row r="18" ht="34" customHeight="1">
      <x:c r="A18" s="46" t="str">
        <x:v>Original VINs</x:v>
      </x:c>
      <x:c r="B18" s="47" t="str">
        <x:v>24 replaced</x:v>
      </x:c>
      <x:c r="C18" s="57" t="str">
        <x:v>Replaced with deterministic ARPI-prefixed synthetic VINs. No original VIN is retained.</x:v>
      </x:c>
      <x:c r="D18" s="57"/>
      <x:c r="E18" s="57"/>
      <x:c r="F18" s="57"/>
      <x:c r="G18" s="57"/>
      <x:c r="H18" s="58"/>
    </x:row>
    <x:row r="19" ht="34" customHeight="1">
      <x:c r="A19" s="48" t="str">
        <x:v>Source URLs</x:v>
      </x:c>
      <x:c r="B19" s="49" t="str">
        <x:v>24 removed</x:v>
      </x:c>
      <x:c r="C19" s="59" t="str">
        <x:v>Row-level external URLs removed and replaced with a neutral source-feed label.</x:v>
      </x:c>
      <x:c r="D19" s="59"/>
      <x:c r="E19" s="59"/>
      <x:c r="F19" s="59"/>
      <x:c r="G19" s="59"/>
      <x:c r="H19" s="60"/>
    </x:row>
    <x:row r="20" ht="34" customHeight="1">
      <x:c r="A20" s="48" t="str">
        <x:v>External dealer identity</x:v>
      </x:c>
      <x:c r="B20" s="49" t="str">
        <x:v>Removed</x:v>
      </x:c>
      <x:c r="C20" s="59" t="str">
        <x:v>All external dealership references removed. Records are assigned to fictional store GSA-002.</x:v>
      </x:c>
      <x:c r="D20" s="59"/>
      <x:c r="E20" s="59"/>
      <x:c r="F20" s="59"/>
      <x:c r="G20" s="59"/>
      <x:c r="H20" s="60"/>
    </x:row>
    <x:row r="21" ht="34" customHeight="1">
      <x:c r="A21" s="48" t="str">
        <x:v>Street address</x:v>
      </x:c>
      <x:c r="B21" s="49" t="str">
        <x:v>Removed</x:v>
      </x:c>
      <x:c r="C21" s="59" t="str">
        <x:v>Geography stops at fictional store name and market region.</x:v>
      </x:c>
      <x:c r="D21" s="59"/>
      <x:c r="E21" s="59"/>
      <x:c r="F21" s="59"/>
      <x:c r="G21" s="59"/>
      <x:c r="H21" s="60"/>
    </x:row>
    <x:row r="22" ht="34" customHeight="1">
      <x:c r="A22" s="50" t="str">
        <x:v>Record identity</x:v>
      </x:c>
      <x:c r="B22" s="51" t="str">
        <x:v>24 generated</x:v>
      </x:c>
      <x:c r="C22" s="61" t="str">
        <x:v>Synthetic source record IDs and group-stable vehicle IDs support repeatable ingestion and future multi-store analysis.</x:v>
      </x:c>
      <x:c r="D22" s="61"/>
      <x:c r="E22" s="61"/>
      <x:c r="F22" s="61"/>
      <x:c r="G22" s="61"/>
      <x:c r="H22" s="62"/>
    </x:row>
    <x:row r="24">
      <x:c r="A24" s="33" t="str">
        <x:v>Coverage limitation</x:v>
      </x:c>
      <x:c r="B24" s="33"/>
      <x:c r="C24" s="33"/>
      <x:c r="D24" s="33"/>
      <x:c r="E24" s="33"/>
      <x:c r="F24" s="33"/>
      <x:c r="G24" s="33"/>
      <x:c r="H24" s="33"/>
    </x:row>
    <x:row r="25" ht="28" customHeight="1">
      <x:c r="A25" s="88" t="str">
        <x:v>This workbook contains 24 visible indexed listing records from a larger reported inventory. The public source did not expose every listing through a reliably extractable path, so this artifact is a partial reference sample. It must not be described as the dealership's complete inventory, current market position, or performance.</x:v>
      </x:c>
      <x:c r="B25" s="89"/>
      <x:c r="C25" s="89"/>
      <x:c r="D25" s="89"/>
      <x:c r="E25" s="89"/>
      <x:c r="F25" s="89"/>
      <x:c r="G25" s="89"/>
      <x:c r="H25" s="90"/>
    </x:row>
    <x:row r="26" ht="28" customHeight="1">
      <x:c r="A26" s="91"/>
      <x:c r="B26" s="92"/>
      <x:c r="C26" s="92"/>
      <x:c r="D26" s="92"/>
      <x:c r="E26" s="92"/>
      <x:c r="F26" s="92"/>
      <x:c r="G26" s="92"/>
      <x:c r="H26" s="93"/>
    </x:row>
    <x:row r="27" ht="28" customHeight="1">
      <x:c r="A27" s="91"/>
      <x:c r="B27" s="92"/>
      <x:c r="C27" s="92"/>
      <x:c r="D27" s="92"/>
      <x:c r="E27" s="92"/>
      <x:c r="F27" s="92"/>
      <x:c r="G27" s="92"/>
      <x:c r="H27" s="93"/>
    </x:row>
    <x:row r="28" ht="28" customHeight="1">
      <x:c r="A28" s="94"/>
      <x:c r="B28" s="95"/>
      <x:c r="C28" s="95"/>
      <x:c r="D28" s="95"/>
      <x:c r="E28" s="95"/>
      <x:c r="F28" s="95"/>
      <x:c r="G28" s="95"/>
      <x:c r="H28" s="96"/>
    </x:row>
    <x:row r="30">
      <x:c r="A30" s="33" t="str">
        <x:v>Business semantics and limitations</x:v>
      </x:c>
      <x:c r="B30" s="33"/>
      <x:c r="C30" s="33"/>
      <x:c r="D30" s="33"/>
      <x:c r="E30" s="33"/>
      <x:c r="F30" s="33"/>
      <x:c r="G30" s="33"/>
      <x:c r="H30" s="33"/>
    </x:row>
    <x:row r="31" ht="44" customHeight="1">
      <x:c r="A31" s="16" t="str">
        <x:v>Observed listing</x:v>
      </x:c>
      <x:c r="B31" s="58" t="str">
        <x:v>A row proves that a vehicle listing was visible in the reference snapshot. It does not prove physical on-ground status.</x:v>
      </x:c>
    </x:row>
    <x:row r="32" ht="44" customHeight="1">
      <x:c r="A32" s="18" t="str">
        <x:v>Advertised price</x:v>
      </x:c>
      <x:c r="B32" s="60" t="str">
        <x:v>The listed price is not transaction price, acquisition cost, inventory investment, MSRP, or gross.</x:v>
      </x:c>
    </x:row>
    <x:row r="33" ht="44" customHeight="1">
      <x:c r="A33" s="18" t="str">
        <x:v>Removed listing</x:v>
      </x:c>
      <x:c r="B33" s="60" t="str">
        <x:v>A future disappearance means removed from listing, not necessarily sold. It could reflect sale, trade, wholesale, feed suppression, or error.</x:v>
      </x:c>
    </x:row>
    <x:row r="34" ht="44" customHeight="1">
      <x:c r="A34" s="18" t="str">
        <x:v>Days observed online</x:v>
      </x:c>
      <x:c r="B34" s="60" t="str">
        <x:v>Future repeated snapshots may calculate days observed online. That must not be labeled days in stock.</x:v>
      </x:c>
    </x:row>
    <x:row r="35" ht="44" customHeight="1">
      <x:c r="A35" s="20" t="str">
        <x:v>Reference classification</x:v>
      </x:c>
      <x:c r="B35" s="62" t="str">
        <x:v>Dealer and vehicle identities are synthetic. Model, trim, mileage, condition, price, and inventory-mix attributes remain a de-identified public reference sample.</x:v>
      </x:c>
    </x:row>
    <x:row r="37">
      <x:c r="A37" s="33" t="str">
        <x:v>Repository placement and ingestion contract</x:v>
      </x:c>
      <x:c r="B37" s="33"/>
      <x:c r="C37" s="33"/>
      <x:c r="D37" s="33"/>
      <x:c r="E37" s="33"/>
      <x:c r="F37" s="33"/>
      <x:c r="G37" s="33"/>
      <x:c r="H37" s="33"/>
    </x:row>
    <x:row r="38" ht="36" customHeight="1">
      <x:c r="A38" s="16" t="str">
        <x:v>Canonical filename</x:v>
      </x:c>
      <x:c r="B38" s="58" t="str">
        <x:v>ARPI_Granite_Subaru_Inventory_Sanitized_2026-08-02.xlsx</x:v>
      </x:c>
    </x:row>
    <x:row r="39" ht="36" customHeight="1">
      <x:c r="A39" s="18" t="str">
        <x:v>Recommended repository path</x:v>
      </x:c>
      <x:c r="B39" s="60" t="str">
        <x:v>data/reference/inventory/gsa-002/2026-08-02/ARPI_Granite_Subaru_Inventory_Sanitized_2026-08-02.xlsx</x:v>
      </x:c>
    </x:row>
    <x:row r="40" ht="36" customHeight="1">
      <x:c r="A40" s="18" t="str">
        <x:v>Raw source policy</x:v>
      </x:c>
      <x:c r="B40" s="60" t="str">
        <x:v>Keep the original unsanitized workbook outside Git and outside the repository.</x:v>
      </x:c>
    </x:row>
    <x:row r="41" ht="36" customHeight="1">
      <x:c r="A41" s="18" t="str">
        <x:v>Intended adapter</x:v>
      </x:c>
      <x:c r="B41" s="60" t="str">
        <x:v>scripts/import_inventory_snapshot.py</x:v>
      </x:c>
    </x:row>
    <x:row r="42" ht="36" customHeight="1">
      <x:c r="A42" s="18" t="str">
        <x:v>Target source entity</x:v>
      </x:c>
      <x:c r="B42" s="60" t="str">
        <x:v>inventory_listing_snapshot</x:v>
      </x:c>
    </x:row>
    <x:row r="43" ht="36" customHeight="1">
      <x:c r="A43" s="20" t="str">
        <x:v>Target warehouse fact</x:v>
      </x:c>
      <x:c r="B43" s="62" t="str">
        <x:v>warehouse.fact_vehicle_listing_snapshot</x:v>
      </x:c>
    </x:row>
    <x:row r="45" ht="48" customHeight="1">
      <x:c r="A45" s="125" t="str">
        <x:v>Governance requirement</x:v>
      </x:c>
      <x:c r="B45" s="129" t="str">
        <x:v>Commit only under data/reference after the approved sanitized-public-reference ADR and repository policy are in place. Do not place this artifact under data/sample.</x:v>
      </x:c>
    </x:row>
    <x:row r="47">
      <x:c r="A47" s="33" t="str">
        <x:v>Published reference notice</x:v>
      </x:c>
      <x:c r="B47" s="33"/>
      <x:c r="C47" s="33"/>
      <x:c r="D47" s="33"/>
      <x:c r="E47" s="33"/>
      <x:c r="F47" s="33"/>
      <x:c r="G47" s="33"/>
      <x:c r="H47" s="33"/>
    </x:row>
    <x:row r="48" ht="28" customHeight="1">
      <x:c r="A48" s="150" t="str">
        <x:v>Granite Auto Group and Granite Subaru of Manchester are fictional. Original VINs, source URLs, street address, and real dealership identity have been removed. This workbook is not fully synthetic: listing attributes remain a de-identified public reference sample. Do not present these rows as a complete dealer inventory, current dealership performance, confidential operational data, completed sales, or transaction results.</x:v>
      </x:c>
      <x:c r="B48" s="151"/>
      <x:c r="C48" s="151"/>
      <x:c r="D48" s="151"/>
      <x:c r="E48" s="151"/>
      <x:c r="F48" s="151"/>
      <x:c r="G48" s="151"/>
      <x:c r="H48" s="152"/>
    </x:row>
    <x:row r="49" ht="28" customHeight="1">
      <x:c r="A49" s="153"/>
      <x:c r="B49" s="154"/>
      <x:c r="C49" s="154"/>
      <x:c r="D49" s="154"/>
      <x:c r="E49" s="154"/>
      <x:c r="F49" s="154"/>
      <x:c r="G49" s="154"/>
      <x:c r="H49" s="155"/>
    </x:row>
    <x:row r="50" ht="28" customHeight="1">
      <x:c r="A50" s="153"/>
      <x:c r="B50" s="154"/>
      <x:c r="C50" s="154"/>
      <x:c r="D50" s="154"/>
      <x:c r="E50" s="154"/>
      <x:c r="F50" s="154"/>
      <x:c r="G50" s="154"/>
      <x:c r="H50" s="155"/>
    </x:row>
    <x:row r="51" ht="28" customHeight="1">
      <x:c r="A51" s="156"/>
      <x:c r="B51" s="157"/>
      <x:c r="C51" s="157"/>
      <x:c r="D51" s="157"/>
      <x:c r="E51" s="157"/>
      <x:c r="F51" s="157"/>
      <x:c r="G51" s="157"/>
      <x:c r="H51" s="158"/>
    </x:row>
  </x:sheetData>
  <x:mergeCells>
    <x:mergeCell ref="A1:H2"/>
    <x:mergeCell ref="A16:H16"/>
    <x:mergeCell ref="C18:H18"/>
    <x:mergeCell ref="C19:H19"/>
    <x:mergeCell ref="C20:H20"/>
    <x:mergeCell ref="C21:H21"/>
    <x:mergeCell ref="C22:H22"/>
    <x:mergeCell ref="A24:H24"/>
    <x:mergeCell ref="A25:H28"/>
    <x:mergeCell ref="A30:H30"/>
    <x:mergeCell ref="A37:H37"/>
    <x:mergeCell ref="A47:H47"/>
    <x:mergeCell ref="A48:H5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25" hidden="0" customWidth="1"/>
    <x:col min="4" max="4" width="19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5" t="str">
        <x:v>ARPI Inventory Operations | Granite Subaru of Manchester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6" t="str">
        <x:v>Dealer group</x:v>
      </x:c>
      <x:c r="B4" s="17" t="str">
        <x:v>Granite Auto Group</x:v>
      </x:c>
      <x:c r="D4" s="205" t="str">
        <x:v>Condition</x:v>
      </x:c>
      <x:c r="E4" s="206" t="str">
        <x:v>Count</x:v>
      </x:c>
    </x:row>
    <x:row r="5">
      <x:c r="A5" s="18" t="str">
        <x:v>Store</x:v>
      </x:c>
      <x:c r="B5" s="19" t="str">
        <x:v>Granite Subaru of Manchester</x:v>
      </x:c>
      <x:c r="D5" s="18" t="str">
        <x:v>New</x:v>
      </x:c>
      <x:c r="E5" s="209" t="n">
        <x:f>COUNTIF(Inventory!$G$2:$G$25,"New")</x:f>
        <x:v>8</x:v>
      </x:c>
    </x:row>
    <x:row r="6">
      <x:c r="A6" s="18" t="str">
        <x:v>Dealership ID</x:v>
      </x:c>
      <x:c r="B6" s="19" t="str">
        <x:v>GSA-002</x:v>
      </x:c>
      <x:c r="D6" s="18" t="str">
        <x:v>Used</x:v>
      </x:c>
      <x:c r="E6" s="209" t="n">
        <x:f>COUNTIF(Inventory!$G$2:$G$25,"Used")</x:f>
        <x:v>16</x:v>
      </x:c>
    </x:row>
    <x:row r="7">
      <x:c r="A7" s="18" t="str">
        <x:v>Market</x:v>
      </x:c>
      <x:c r="B7" s="19" t="str">
        <x:v>Southern New Hampshire</x:v>
      </x:c>
      <x:c r="D7" s="18" t="str">
        <x:v>Listed price</x:v>
      </x:c>
      <x:c r="E7" s="209" t="n">
        <x:f>COUNTIF(Inventory!$O$2:$O$25,"Listed")</x:f>
        <x:v>24</x:v>
      </x:c>
    </x:row>
    <x:row r="8">
      <x:c r="A8" s="18" t="str">
        <x:v>Snapshot date</x:v>
      </x:c>
      <x:c r="B8" s="28" t="n">
        <x:v>46236</x:v>
      </x:c>
      <x:c r="D8" s="20" t="str">
        <x:v>Call for price</x:v>
      </x:c>
      <x:c r="E8" s="215" t="n">
        <x:f>COUNTIF(Inventory!$O$2:$O$25,"Call for price")</x:f>
        <x:v>0</x:v>
      </x:c>
    </x:row>
    <x:row r="9">
      <x:c r="A9" s="20" t="str">
        <x:v>Coverage</x:v>
      </x:c>
      <x:c r="B9" s="21" t="str">
        <x:v>Partial public reference sample</x:v>
      </x:c>
    </x:row>
    <x:row r="11">
      <x:c r="A11" s="205" t="str">
        <x:v>Metric</x:v>
      </x:c>
      <x:c r="B11" s="206" t="str">
        <x:v>Value</x:v>
      </x:c>
    </x:row>
    <x:row r="12">
      <x:c r="A12" s="18" t="str">
        <x:v>Visible reference listings</x:v>
      </x:c>
      <x:c r="B12" s="209" t="n">
        <x:f>COUNTA(Inventory!$A$2:$A$25)</x:f>
        <x:v>24</x:v>
      </x:c>
    </x:row>
    <x:row r="13">
      <x:c r="A13" s="18" t="str">
        <x:v>New vehicles</x:v>
      </x:c>
      <x:c r="B13" s="209" t="n">
        <x:f>COUNTIF(Inventory!$G$2:$G$25,"New")</x:f>
        <x:v>8</x:v>
      </x:c>
    </x:row>
    <x:row r="14">
      <x:c r="A14" s="18" t="str">
        <x:v>Used vehicles</x:v>
      </x:c>
      <x:c r="B14" s="209" t="n">
        <x:f>COUNTIF(Inventory!$G$2:$G$25,"Used")</x:f>
        <x:v>16</x:v>
      </x:c>
    </x:row>
    <x:row r="15">
      <x:c r="A15" s="18" t="str">
        <x:v>Vehicles with listed price</x:v>
      </x:c>
      <x:c r="B15" s="209" t="n">
        <x:f>COUNTIF(Inventory!$O$2:$O$25,"Listed")</x:f>
        <x:v>24</x:v>
      </x:c>
    </x:row>
    <x:row r="16">
      <x:c r="A16" s="18" t="str">
        <x:v>Call for price</x:v>
      </x:c>
      <x:c r="B16" s="209" t="n">
        <x:f>COUNTIF(Inventory!$O$2:$O$25,"Call for price")</x:f>
        <x:v>0</x:v>
      </x:c>
    </x:row>
    <x:row r="17">
      <x:c r="A17" s="18" t="str">
        <x:v>Total advertised listing value</x:v>
      </x:c>
      <x:c r="B17" s="211" t="n">
        <x:f>SUM(Inventory!$N$2:$N$25)</x:f>
        <x:v>734194</x:v>
      </x:c>
    </x:row>
    <x:row r="18">
      <x:c r="A18" s="20" t="str">
        <x:v>Average advertised price</x:v>
      </x:c>
      <x:c r="B18" s="212" t="n">
        <x:f>IF(B15=0,0,B17/B15)</x:f>
        <x:v>30591.416666666668</x:v>
      </x:c>
    </x:row>
    <x:row r="20">
      <x:c r="A20" s="33" t="str">
        <x:v>Governed interpretation</x:v>
      </x:c>
      <x:c r="B20" s="33"/>
      <x:c r="C20" s="33"/>
      <x:c r="D20" s="33"/>
      <x:c r="E20" s="33"/>
      <x:c r="F20" s="33"/>
      <x:c r="G20" s="33"/>
      <x:c r="H20" s="33"/>
    </x:row>
    <x:row r="21">
      <x:c r="A21" s="235" t="str">
        <x:v>This report describes 24 visible indexed listings assigned to the fictional Granite Subaru of Manchester. It is a partial public reference sample, not the dealership's complete inventory. Advertised prices are not transaction prices or inventory cost. Listing disappearance does not prove a sale, and repeated observations may support days observed online but not dealership days in stock.</x:v>
      </x:c>
      <x:c r="B21" s="236"/>
      <x:c r="C21" s="236"/>
      <x:c r="D21" s="236"/>
      <x:c r="E21" s="236"/>
      <x:c r="F21" s="236"/>
      <x:c r="G21" s="236"/>
      <x:c r="H21" s="237"/>
    </x:row>
    <x:row r="22">
      <x:c r="A22" s="238"/>
      <x:c r="B22" s="239"/>
      <x:c r="C22" s="239"/>
      <x:c r="D22" s="239"/>
      <x:c r="E22" s="239"/>
      <x:c r="F22" s="239"/>
      <x:c r="G22" s="239"/>
      <x:c r="H22" s="240"/>
    </x:row>
    <x:row r="23">
      <x:c r="A23" s="238"/>
      <x:c r="B23" s="239"/>
      <x:c r="C23" s="239"/>
      <x:c r="D23" s="239"/>
      <x:c r="E23" s="239"/>
      <x:c r="F23" s="239"/>
      <x:c r="G23" s="239"/>
      <x:c r="H23" s="240"/>
    </x:row>
    <x:row r="24">
      <x:c r="A24" s="241"/>
      <x:c r="B24" s="242"/>
      <x:c r="C24" s="242"/>
      <x:c r="D24" s="242"/>
      <x:c r="E24" s="242"/>
      <x:c r="F24" s="242"/>
      <x:c r="G24" s="242"/>
      <x:c r="H24" s="243"/>
    </x:row>
    <x:row r="26">
      <x:c r="A26" s="33" t="str">
        <x:v>Top visible models</x:v>
      </x:c>
      <x:c r="B26" s="33"/>
      <x:c r="C26" s="33"/>
      <x:c r="D26" s="33"/>
      <x:c r="E26" s="33"/>
      <x:c r="F26" s="33"/>
      <x:c r="G26" s="33"/>
      <x:c r="H26" s="33"/>
    </x:row>
    <x:row r="27">
      <x:c r="A27" s="205" t="str">
        <x:v>Condition</x:v>
      </x:c>
      <x:c r="B27" s="271" t="str">
        <x:v>Make</x:v>
      </x:c>
      <x:c r="C27" s="271" t="str">
        <x:v>Model</x:v>
      </x:c>
      <x:c r="D27" s="206" t="str">
        <x:v>Units</x:v>
      </x:c>
    </x:row>
    <x:row r="28">
      <x:c r="A28" s="48" t="str">
        <x:v>New</x:v>
      </x:c>
      <x:c r="B28" s="49" t="str">
        <x:v>Subaru</x:v>
      </x:c>
      <x:c r="C28" s="49" t="str">
        <x:v>Crosstrek</x:v>
      </x:c>
      <x:c r="D28" s="273" t="n">
        <x:f>COUNTIFS(Inventory!$G$2:$G$25,A28,Inventory!$I$2:$I$25,B28,Inventory!$J$2:$J$25,C28)</x:f>
        <x:v>3</x:v>
      </x:c>
    </x:row>
    <x:row r="29">
      <x:c r="A29" s="48" t="str">
        <x:v>Used</x:v>
      </x:c>
      <x:c r="B29" s="49" t="str">
        <x:v>Subaru</x:v>
      </x:c>
      <x:c r="C29" s="49" t="str">
        <x:v>Crosstrek</x:v>
      </x:c>
      <x:c r="D29" s="273" t="n">
        <x:f>COUNTIFS(Inventory!$G$2:$G$25,A29,Inventory!$I$2:$I$25,B29,Inventory!$J$2:$J$25,C29)</x:f>
        <x:v>3</x:v>
      </x:c>
    </x:row>
    <x:row r="30">
      <x:c r="A30" s="48" t="str">
        <x:v>Used</x:v>
      </x:c>
      <x:c r="B30" s="49" t="str">
        <x:v>Subaru</x:v>
      </x:c>
      <x:c r="C30" s="49" t="str">
        <x:v>Forester</x:v>
      </x:c>
      <x:c r="D30" s="273" t="n">
        <x:f>COUNTIFS(Inventory!$G$2:$G$25,A30,Inventory!$I$2:$I$25,B30,Inventory!$J$2:$J$25,C30)</x:f>
        <x:v>3</x:v>
      </x:c>
    </x:row>
    <x:row r="31">
      <x:c r="A31" s="48" t="str">
        <x:v>New</x:v>
      </x:c>
      <x:c r="B31" s="49" t="str">
        <x:v>Subaru</x:v>
      </x:c>
      <x:c r="C31" s="49" t="str">
        <x:v>Outback</x:v>
      </x:c>
      <x:c r="D31" s="273" t="n">
        <x:f>COUNTIFS(Inventory!$G$2:$G$25,A31,Inventory!$I$2:$I$25,B31,Inventory!$J$2:$J$25,C31)</x:f>
        <x:v>2</x:v>
      </x:c>
    </x:row>
    <x:row r="32">
      <x:c r="A32" s="48" t="str">
        <x:v>New</x:v>
      </x:c>
      <x:c r="B32" s="49" t="str">
        <x:v>Subaru</x:v>
      </x:c>
      <x:c r="C32" s="49" t="str">
        <x:v>Ascent</x:v>
      </x:c>
      <x:c r="D32" s="273" t="n">
        <x:f>COUNTIFS(Inventory!$G$2:$G$25,A32,Inventory!$I$2:$I$25,B32,Inventory!$J$2:$J$25,C32)</x:f>
        <x:v>1</x:v>
      </x:c>
    </x:row>
    <x:row r="33">
      <x:c r="A33" s="48" t="str">
        <x:v>New</x:v>
      </x:c>
      <x:c r="B33" s="49" t="str">
        <x:v>Subaru</x:v>
      </x:c>
      <x:c r="C33" s="49" t="str">
        <x:v>Forester</x:v>
      </x:c>
      <x:c r="D33" s="273" t="n">
        <x:f>COUNTIFS(Inventory!$G$2:$G$25,A33,Inventory!$I$2:$I$25,B33,Inventory!$J$2:$J$25,C33)</x:f>
        <x:v>1</x:v>
      </x:c>
    </x:row>
    <x:row r="34">
      <x:c r="A34" s="48" t="str">
        <x:v>New</x:v>
      </x:c>
      <x:c r="B34" s="49" t="str">
        <x:v>Subaru</x:v>
      </x:c>
      <x:c r="C34" s="49" t="str">
        <x:v>Impreza</x:v>
      </x:c>
      <x:c r="D34" s="273" t="n">
        <x:f>COUNTIFS(Inventory!$G$2:$G$25,A34,Inventory!$I$2:$I$25,B34,Inventory!$J$2:$J$25,C34)</x:f>
        <x:v>1</x:v>
      </x:c>
    </x:row>
    <x:row r="35">
      <x:c r="A35" s="48" t="str">
        <x:v>Used</x:v>
      </x:c>
      <x:c r="B35" s="49" t="str">
        <x:v>Ford</x:v>
      </x:c>
      <x:c r="C35" s="49" t="str">
        <x:v>Edge</x:v>
      </x:c>
      <x:c r="D35" s="273" t="n">
        <x:f>COUNTIFS(Inventory!$G$2:$G$25,A35,Inventory!$I$2:$I$25,B35,Inventory!$J$2:$J$25,C35)</x:f>
        <x:v>1</x:v>
      </x:c>
    </x:row>
    <x:row r="36">
      <x:c r="A36" s="48" t="str">
        <x:v>Used</x:v>
      </x:c>
      <x:c r="B36" s="49" t="str">
        <x:v>Honda</x:v>
      </x:c>
      <x:c r="C36" s="49" t="str">
        <x:v>Accord</x:v>
      </x:c>
      <x:c r="D36" s="273" t="n">
        <x:f>COUNTIFS(Inventory!$G$2:$G$25,A36,Inventory!$I$2:$I$25,B36,Inventory!$J$2:$J$25,C36)</x:f>
        <x:v>1</x:v>
      </x:c>
    </x:row>
    <x:row r="37">
      <x:c r="A37" s="50" t="str">
        <x:v>Used</x:v>
      </x:c>
      <x:c r="B37" s="51" t="str">
        <x:v>Honda</x:v>
      </x:c>
      <x:c r="C37" s="51" t="str">
        <x:v>Civic</x:v>
      </x:c>
      <x:c r="D37" s="274" t="n">
        <x:f>COUNTIFS(Inventory!$G$2:$G$25,A37,Inventory!$I$2:$I$25,B37,Inventory!$J$2:$J$25,C37)</x:f>
        <x:v>1</x:v>
      </x:c>
    </x:row>
    <x:row r="40">
      <x:c r="A40" s="33" t="str">
        <x:v>Sanitized public reference notice</x:v>
      </x:c>
      <x:c r="B40" s="33"/>
      <x:c r="C40" s="33"/>
      <x:c r="D40" s="33"/>
      <x:c r="E40" s="33"/>
      <x:c r="F40" s="33"/>
      <x:c r="G40" s="33"/>
      <x:c r="H40" s="33"/>
    </x:row>
    <x:row r="41">
      <x:c r="A41" s="296" t="str">
        <x:v>Granite Auto Group and its stores are fictional. Original VINs and source URLs are removed. This artifact preserves a partial de-identified public listing sample, so it must not be presented as complete inventory, current dealership performance, confidential DMS data, or sales results.</x:v>
      </x:c>
      <x:c r="B41" s="297"/>
      <x:c r="C41" s="297"/>
      <x:c r="D41" s="297"/>
      <x:c r="E41" s="297"/>
      <x:c r="F41" s="297"/>
      <x:c r="G41" s="297"/>
      <x:c r="H41" s="298"/>
    </x:row>
    <x:row r="42">
      <x:c r="A42" s="299"/>
      <x:c r="B42" s="300"/>
      <x:c r="C42" s="300"/>
      <x:c r="D42" s="300"/>
      <x:c r="E42" s="300"/>
      <x:c r="F42" s="300"/>
      <x:c r="G42" s="300"/>
      <x:c r="H42" s="301"/>
    </x:row>
    <x:row r="43">
      <x:c r="A43" s="299"/>
      <x:c r="B43" s="300"/>
      <x:c r="C43" s="300"/>
      <x:c r="D43" s="300"/>
      <x:c r="E43" s="300"/>
      <x:c r="F43" s="300"/>
      <x:c r="G43" s="300"/>
      <x:c r="H43" s="301"/>
    </x:row>
    <x:row r="44">
      <x:c r="A44" s="302"/>
      <x:c r="B44" s="303"/>
      <x:c r="C44" s="303"/>
      <x:c r="D44" s="303"/>
      <x:c r="E44" s="303"/>
      <x:c r="F44" s="303"/>
      <x:c r="G44" s="303"/>
      <x:c r="H44" s="304"/>
    </x:row>
  </x:sheetData>
  <x:mergeCells>
    <x:mergeCell ref="A1:H2"/>
    <x:mergeCell ref="A20:H20"/>
    <x:mergeCell ref="A21:H24"/>
    <x:mergeCell ref="A26:H26"/>
    <x:mergeCell ref="A40:H40"/>
    <x:mergeCell ref="A41:H44"/>
  </x:mergeCells>
  <x:pageMargins left="0.7" right="0.7" top="0.75" bottom="0.75" header="0.3" footer="0.3"/>
  <x:drawing xmlns:r="http://schemas.openxmlformats.org/officeDocument/2006/relationships" r:id="R8c6deaed0a444238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30" hidden="0" customWidth="1"/>
    <x:col min="4" max="4" width="14" hidden="0" customWidth="1"/>
    <x:col min="5" max="5" width="22" hidden="0" customWidth="1"/>
    <x:col min="6" max="6" width="32" hidden="0" customWidth="1"/>
    <x:col min="7" max="7" width="11" hidden="0" customWidth="1"/>
    <x:col min="8" max="8" width="11" hidden="0" customWidth="1"/>
    <x:col min="9" max="9" width="18" hidden="0" customWidth="1"/>
    <x:col min="10" max="10" width="28" hidden="0" customWidth="1"/>
    <x:col min="11" max="11" width="28" hidden="0" customWidth="1"/>
    <x:col min="12" max="12" width="48" hidden="0" customWidth="1"/>
    <x:col min="13" max="13" width="15" hidden="0" customWidth="1"/>
    <x:col min="14" max="14" width="16" hidden="0" customWidth="1"/>
    <x:col min="15" max="15" width="17" hidden="0" customWidth="1"/>
    <x:col min="16" max="16" width="20" hidden="0" customWidth="1"/>
    <x:col min="17" max="17" width="20" hidden="0" customWidth="1"/>
    <x:col min="18" max="18" width="18" hidden="0" customWidth="1"/>
    <x:col min="19" max="19" width="25" hidden="0" customWidth="1"/>
  </x:cols>
  <x:sheetData>
    <x:row r="1" ht="20" customHeight="1">
      <x:c r="A1" s="41" t="str">
        <x:v>Source Record ID</x:v>
      </x:c>
      <x:c r="B1" s="41" t="str">
        <x:v>Dealership ID</x:v>
      </x:c>
      <x:c r="C1" s="41" t="str">
        <x:v>Store Name</x:v>
      </x:c>
      <x:c r="D1" s="41" t="str">
        <x:v>Captured At</x:v>
      </x:c>
      <x:c r="E1" s="41" t="str">
        <x:v>Source Batch ID</x:v>
      </x:c>
      <x:c r="F1" s="41" t="str">
        <x:v>Source Feed</x:v>
      </x:c>
      <x:c r="G1" s="41" t="str">
        <x:v>Condition</x:v>
      </x:c>
      <x:c r="H1" s="41" t="str">
        <x:v>Model Year</x:v>
      </x:c>
      <x:c r="I1" s="41" t="str">
        <x:v>Make</x:v>
      </x:c>
      <x:c r="J1" s="41" t="str">
        <x:v>Model</x:v>
      </x:c>
      <x:c r="K1" s="41" t="str">
        <x:v>Trim</x:v>
      </x:c>
      <x:c r="L1" s="41" t="str">
        <x:v>Vehicle Display</x:v>
      </x:c>
      <x:c r="M1" s="41" t="str">
        <x:v>Odometer Miles</x:v>
      </x:c>
      <x:c r="N1" s="41" t="str">
        <x:v>Advertised Price</x:v>
      </x:c>
      <x:c r="O1" s="41" t="str">
        <x:v>Pricing Status</x:v>
      </x:c>
      <x:c r="P1" s="41" t="str">
        <x:v>Synthetic Vehicle ID</x:v>
      </x:c>
      <x:c r="Q1" s="41" t="str">
        <x:v>Synthetic VIN</x:v>
      </x:c>
      <x:c r="R1" s="41" t="str">
        <x:v>Inventory Unit Count</x:v>
      </x:c>
      <x:c r="S1" s="41" t="str">
        <x:v>Data Classification</x:v>
      </x:c>
    </x:row>
    <x:row r="2" ht="20" customHeight="1">
      <x:c r="A2" s="49" t="str">
        <x:v>GSA002-20260802-0001</x:v>
      </x:c>
      <x:c r="B2" s="49" t="str">
        <x:v>GSA-002</x:v>
      </x:c>
      <x:c r="C2" s="49" t="str">
        <x:v>Granite Subaru of Manchester</x:v>
      </x:c>
      <x:c r="D2" s="189" t="n">
        <x:v>46236</x:v>
      </x:c>
      <x:c r="E2" s="49" t="str">
        <x:v>GSA002-20260802-001</x:v>
      </x:c>
      <x:c r="F2" s="49" t="str">
        <x:v>sanitized_public_inventory_reference</x:v>
      </x:c>
      <x:c r="G2" s="49" t="str">
        <x:v>New</x:v>
      </x:c>
      <x:c r="H2" s="193" t="n">
        <x:v>2026</x:v>
      </x:c>
      <x:c r="I2" s="49" t="str">
        <x:v>Subaru</x:v>
      </x:c>
      <x:c r="J2" s="49" t="str">
        <x:v>Outback</x:v>
      </x:c>
      <x:c r="K2" s="49" t="str">
        <x:v>Limited</x:v>
      </x:c>
      <x:c r="L2" s="49" t="str">
        <x:v>2026 Subaru Outback Limited</x:v>
      </x:c>
      <x:c r="M2" s="197" t="n">
        <x:v>1</x:v>
      </x:c>
      <x:c r="N2" s="201" t="n">
        <x:v>41566</x:v>
      </x:c>
      <x:c r="O2" s="49" t="str">
        <x:v>Listed</x:v>
      </x:c>
      <x:c r="P2" s="49" t="str">
        <x:v>VEH-CE100DD160B0</x:v>
      </x:c>
      <x:c r="Q2" s="49" t="str">
        <x:v>ARPICE100DD160B01</x:v>
      </x:c>
      <x:c r="R2" s="193" t="n">
        <x:v>1</x:v>
      </x:c>
      <x:c r="S2" s="49" t="str">
        <x:v>Sanitized public reference data</x:v>
      </x:c>
    </x:row>
    <x:row r="3" ht="20" customHeight="1">
      <x:c r="A3" s="49" t="str">
        <x:v>GSA002-20260802-0002</x:v>
      </x:c>
      <x:c r="B3" s="49" t="str">
        <x:v>GSA-002</x:v>
      </x:c>
      <x:c r="C3" s="49" t="str">
        <x:v>Granite Subaru of Manchester</x:v>
      </x:c>
      <x:c r="D3" s="189" t="n">
        <x:v>46236</x:v>
      </x:c>
      <x:c r="E3" s="49" t="str">
        <x:v>GSA002-20260802-001</x:v>
      </x:c>
      <x:c r="F3" s="49" t="str">
        <x:v>sanitized_public_inventory_reference</x:v>
      </x:c>
      <x:c r="G3" s="49" t="str">
        <x:v>Used</x:v>
      </x:c>
      <x:c r="H3" s="193" t="n">
        <x:v>2023</x:v>
      </x:c>
      <x:c r="I3" s="49" t="str">
        <x:v>Honda</x:v>
      </x:c>
      <x:c r="J3" s="49" t="str">
        <x:v>Accord</x:v>
      </x:c>
      <x:c r="K3" s="49" t="str">
        <x:v>LX</x:v>
      </x:c>
      <x:c r="L3" s="49" t="str">
        <x:v>2023 Honda Accord LX</x:v>
      </x:c>
      <x:c r="M3" s="197" t="n">
        <x:v>19521</x:v>
      </x:c>
      <x:c r="N3" s="201" t="n">
        <x:v>24395</x:v>
      </x:c>
      <x:c r="O3" s="49" t="str">
        <x:v>Listed</x:v>
      </x:c>
      <x:c r="P3" s="49" t="str">
        <x:v>VEH-243BF1CAF81B</x:v>
      </x:c>
      <x:c r="Q3" s="49" t="str">
        <x:v>ARPI243BF1CAF81BD</x:v>
      </x:c>
      <x:c r="R3" s="193" t="n">
        <x:v>1</x:v>
      </x:c>
      <x:c r="S3" s="49" t="str">
        <x:v>Sanitized public reference data</x:v>
      </x:c>
    </x:row>
    <x:row r="4" ht="20" customHeight="1">
      <x:c r="A4" s="49" t="str">
        <x:v>GSA002-20260802-0003</x:v>
      </x:c>
      <x:c r="B4" s="49" t="str">
        <x:v>GSA-002</x:v>
      </x:c>
      <x:c r="C4" s="49" t="str">
        <x:v>Granite Subaru of Manchester</x:v>
      </x:c>
      <x:c r="D4" s="189" t="n">
        <x:v>46236</x:v>
      </x:c>
      <x:c r="E4" s="49" t="str">
        <x:v>GSA002-20260802-001</x:v>
      </x:c>
      <x:c r="F4" s="49" t="str">
        <x:v>sanitized_public_inventory_reference</x:v>
      </x:c>
      <x:c r="G4" s="49" t="str">
        <x:v>Used</x:v>
      </x:c>
      <x:c r="H4" s="193" t="n">
        <x:v>2024</x:v>
      </x:c>
      <x:c r="I4" s="49" t="str">
        <x:v>Subaru</x:v>
      </x:c>
      <x:c r="J4" s="49" t="str">
        <x:v>Outback</x:v>
      </x:c>
      <x:c r="K4" s="49" t="str">
        <x:v>Premium</x:v>
      </x:c>
      <x:c r="L4" s="49" t="str">
        <x:v>2024 Subaru Outback Premium</x:v>
      </x:c>
      <x:c r="M4" s="197" t="n">
        <x:v>20768</x:v>
      </x:c>
      <x:c r="N4" s="201" t="n">
        <x:v>28395</x:v>
      </x:c>
      <x:c r="O4" s="49" t="str">
        <x:v>Listed</x:v>
      </x:c>
      <x:c r="P4" s="49" t="str">
        <x:v>VEH-60F748E700C8</x:v>
      </x:c>
      <x:c r="Q4" s="49" t="str">
        <x:v>ARPI60F748E700C81</x:v>
      </x:c>
      <x:c r="R4" s="193" t="n">
        <x:v>1</x:v>
      </x:c>
      <x:c r="S4" s="49" t="str">
        <x:v>Sanitized public reference data</x:v>
      </x:c>
    </x:row>
    <x:row r="5" ht="20" customHeight="1">
      <x:c r="A5" s="49" t="str">
        <x:v>GSA002-20260802-0004</x:v>
      </x:c>
      <x:c r="B5" s="49" t="str">
        <x:v>GSA-002</x:v>
      </x:c>
      <x:c r="C5" s="49" t="str">
        <x:v>Granite Subaru of Manchester</x:v>
      </x:c>
      <x:c r="D5" s="189" t="n">
        <x:v>46236</x:v>
      </x:c>
      <x:c r="E5" s="49" t="str">
        <x:v>GSA002-20260802-001</x:v>
      </x:c>
      <x:c r="F5" s="49" t="str">
        <x:v>sanitized_public_inventory_reference</x:v>
      </x:c>
      <x:c r="G5" s="49" t="str">
        <x:v>Used</x:v>
      </x:c>
      <x:c r="H5" s="193" t="n">
        <x:v>2022</x:v>
      </x:c>
      <x:c r="I5" s="49" t="str">
        <x:v>Honda</x:v>
      </x:c>
      <x:c r="J5" s="49" t="str">
        <x:v>Civic</x:v>
      </x:c>
      <x:c r="K5" s="49" t="str">
        <x:v>Sport Touring</x:v>
      </x:c>
      <x:c r="L5" s="49" t="str">
        <x:v>2022 Honda Civic Sport Touring</x:v>
      </x:c>
      <x:c r="M5" s="197" t="n">
        <x:v>39778</x:v>
      </x:c>
      <x:c r="N5" s="201" t="n">
        <x:v>25795</x:v>
      </x:c>
      <x:c r="O5" s="49" t="str">
        <x:v>Listed</x:v>
      </x:c>
      <x:c r="P5" s="49" t="str">
        <x:v>VEH-35610C433987</x:v>
      </x:c>
      <x:c r="Q5" s="49" t="str">
        <x:v>ARPI35610C4339878</x:v>
      </x:c>
      <x:c r="R5" s="193" t="n">
        <x:v>1</x:v>
      </x:c>
      <x:c r="S5" s="49" t="str">
        <x:v>Sanitized public reference data</x:v>
      </x:c>
    </x:row>
    <x:row r="6" ht="20" customHeight="1">
      <x:c r="A6" s="49" t="str">
        <x:v>GSA002-20260802-0005</x:v>
      </x:c>
      <x:c r="B6" s="49" t="str">
        <x:v>GSA-002</x:v>
      </x:c>
      <x:c r="C6" s="49" t="str">
        <x:v>Granite Subaru of Manchester</x:v>
      </x:c>
      <x:c r="D6" s="189" t="n">
        <x:v>46236</x:v>
      </x:c>
      <x:c r="E6" s="49" t="str">
        <x:v>GSA002-20260802-001</x:v>
      </x:c>
      <x:c r="F6" s="49" t="str">
        <x:v>sanitized_public_inventory_reference</x:v>
      </x:c>
      <x:c r="G6" s="49" t="str">
        <x:v>Used</x:v>
      </x:c>
      <x:c r="H6" s="193" t="n">
        <x:v>2023</x:v>
      </x:c>
      <x:c r="I6" s="49" t="str">
        <x:v>Subaru</x:v>
      </x:c>
      <x:c r="J6" s="49" t="str">
        <x:v>Forester</x:v>
      </x:c>
      <x:c r="K6" s="49" t="str">
        <x:v>Limited</x:v>
      </x:c>
      <x:c r="L6" s="49" t="str">
        <x:v>2023 Subaru Forester Limited</x:v>
      </x:c>
      <x:c r="M6" s="197" t="n">
        <x:v>19313</x:v>
      </x:c>
      <x:c r="N6" s="201" t="n">
        <x:v>30195</x:v>
      </x:c>
      <x:c r="O6" s="49" t="str">
        <x:v>Listed</x:v>
      </x:c>
      <x:c r="P6" s="49" t="str">
        <x:v>VEH-C34E04DE404A</x:v>
      </x:c>
      <x:c r="Q6" s="49" t="str">
        <x:v>ARPIC34E04DE404AD</x:v>
      </x:c>
      <x:c r="R6" s="193" t="n">
        <x:v>1</x:v>
      </x:c>
      <x:c r="S6" s="49" t="str">
        <x:v>Sanitized public reference data</x:v>
      </x:c>
    </x:row>
    <x:row r="7" ht="20" customHeight="1">
      <x:c r="A7" s="49" t="str">
        <x:v>GSA002-20260802-0006</x:v>
      </x:c>
      <x:c r="B7" s="49" t="str">
        <x:v>GSA-002</x:v>
      </x:c>
      <x:c r="C7" s="49" t="str">
        <x:v>Granite Subaru of Manchester</x:v>
      </x:c>
      <x:c r="D7" s="189" t="n">
        <x:v>46236</x:v>
      </x:c>
      <x:c r="E7" s="49" t="str">
        <x:v>GSA002-20260802-001</x:v>
      </x:c>
      <x:c r="F7" s="49" t="str">
        <x:v>sanitized_public_inventory_reference</x:v>
      </x:c>
      <x:c r="G7" s="49" t="str">
        <x:v>New</x:v>
      </x:c>
      <x:c r="H7" s="193" t="n">
        <x:v>2026</x:v>
      </x:c>
      <x:c r="I7" s="49" t="str">
        <x:v>Subaru</x:v>
      </x:c>
      <x:c r="J7" s="49" t="str">
        <x:v>Outback</x:v>
      </x:c>
      <x:c r="K7" s="49" t="str">
        <x:v>Premium</x:v>
      </x:c>
      <x:c r="L7" s="49" t="str">
        <x:v>2026 Subaru Outback Premium</x:v>
      </x:c>
      <x:c r="M7" s="197" t="n">
        <x:v>1</x:v>
      </x:c>
      <x:c r="N7" s="201" t="n">
        <x:v>37166</x:v>
      </x:c>
      <x:c r="O7" s="49" t="str">
        <x:v>Listed</x:v>
      </x:c>
      <x:c r="P7" s="49" t="str">
        <x:v>VEH-789EF883B3E7</x:v>
      </x:c>
      <x:c r="Q7" s="49" t="str">
        <x:v>ARPI789EF883B3E78</x:v>
      </x:c>
      <x:c r="R7" s="193" t="n">
        <x:v>1</x:v>
      </x:c>
      <x:c r="S7" s="49" t="str">
        <x:v>Sanitized public reference data</x:v>
      </x:c>
    </x:row>
    <x:row r="8" ht="20" customHeight="1">
      <x:c r="A8" s="49" t="str">
        <x:v>GSA002-20260802-0007</x:v>
      </x:c>
      <x:c r="B8" s="49" t="str">
        <x:v>GSA-002</x:v>
      </x:c>
      <x:c r="C8" s="49" t="str">
        <x:v>Granite Subaru of Manchester</x:v>
      </x:c>
      <x:c r="D8" s="189" t="n">
        <x:v>46236</x:v>
      </x:c>
      <x:c r="E8" s="49" t="str">
        <x:v>GSA002-20260802-001</x:v>
      </x:c>
      <x:c r="F8" s="49" t="str">
        <x:v>sanitized_public_inventory_reference</x:v>
      </x:c>
      <x:c r="G8" s="49" t="str">
        <x:v>Used</x:v>
      </x:c>
      <x:c r="H8" s="193" t="n">
        <x:v>2023</x:v>
      </x:c>
      <x:c r="I8" s="49" t="str">
        <x:v>Subaru</x:v>
      </x:c>
      <x:c r="J8" s="49" t="str">
        <x:v>Forester</x:v>
      </x:c>
      <x:c r="K8" s="49" t="str"/>
      <x:c r="L8" s="49" t="str">
        <x:v>2023 Subaru Forester</x:v>
      </x:c>
      <x:c r="M8" s="197" t="n">
        <x:v>18138</x:v>
      </x:c>
      <x:c r="N8" s="201" t="n">
        <x:v>25795</x:v>
      </x:c>
      <x:c r="O8" s="49" t="str">
        <x:v>Listed</x:v>
      </x:c>
      <x:c r="P8" s="49" t="str">
        <x:v>VEH-0D64FF6001DA</x:v>
      </x:c>
      <x:c r="Q8" s="49" t="str">
        <x:v>ARPI0D64FF6001DA5</x:v>
      </x:c>
      <x:c r="R8" s="193" t="n">
        <x:v>1</x:v>
      </x:c>
      <x:c r="S8" s="49" t="str">
        <x:v>Sanitized public reference data</x:v>
      </x:c>
    </x:row>
    <x:row r="9" ht="20" customHeight="1">
      <x:c r="A9" s="49" t="str">
        <x:v>GSA002-20260802-0008</x:v>
      </x:c>
      <x:c r="B9" s="49" t="str">
        <x:v>GSA-002</x:v>
      </x:c>
      <x:c r="C9" s="49" t="str">
        <x:v>Granite Subaru of Manchester</x:v>
      </x:c>
      <x:c r="D9" s="189" t="n">
        <x:v>46236</x:v>
      </x:c>
      <x:c r="E9" s="49" t="str">
        <x:v>GSA002-20260802-001</x:v>
      </x:c>
      <x:c r="F9" s="49" t="str">
        <x:v>sanitized_public_inventory_reference</x:v>
      </x:c>
      <x:c r="G9" s="49" t="str">
        <x:v>Used</x:v>
      </x:c>
      <x:c r="H9" s="193" t="n">
        <x:v>2024</x:v>
      </x:c>
      <x:c r="I9" s="49" t="str">
        <x:v>Mazda</x:v>
      </x:c>
      <x:c r="J9" s="49" t="str">
        <x:v>CX-90</x:v>
      </x:c>
      <x:c r="K9" s="49" t="str">
        <x:v>S Premium Plus</x:v>
      </x:c>
      <x:c r="L9" s="49" t="str">
        <x:v>2024 Mazda CX-90 S Premium Plus</x:v>
      </x:c>
      <x:c r="M9" s="197" t="n">
        <x:v>47918</x:v>
      </x:c>
      <x:c r="N9" s="201" t="n">
        <x:v>35995</x:v>
      </x:c>
      <x:c r="O9" s="49" t="str">
        <x:v>Listed</x:v>
      </x:c>
      <x:c r="P9" s="49" t="str">
        <x:v>VEH-DE94A43C2436</x:v>
      </x:c>
      <x:c r="Q9" s="49" t="str">
        <x:v>ARPIDE94A43C24367</x:v>
      </x:c>
      <x:c r="R9" s="193" t="n">
        <x:v>1</x:v>
      </x:c>
      <x:c r="S9" s="49" t="str">
        <x:v>Sanitized public reference data</x:v>
      </x:c>
    </x:row>
    <x:row r="10" ht="20" customHeight="1">
      <x:c r="A10" s="49" t="str">
        <x:v>GSA002-20260802-0009</x:v>
      </x:c>
      <x:c r="B10" s="49" t="str">
        <x:v>GSA-002</x:v>
      </x:c>
      <x:c r="C10" s="49" t="str">
        <x:v>Granite Subaru of Manchester</x:v>
      </x:c>
      <x:c r="D10" s="189" t="n">
        <x:v>46236</x:v>
      </x:c>
      <x:c r="E10" s="49" t="str">
        <x:v>GSA002-20260802-001</x:v>
      </x:c>
      <x:c r="F10" s="49" t="str">
        <x:v>sanitized_public_inventory_reference</x:v>
      </x:c>
      <x:c r="G10" s="49" t="str">
        <x:v>New</x:v>
      </x:c>
      <x:c r="H10" s="193" t="n">
        <x:v>2026</x:v>
      </x:c>
      <x:c r="I10" s="49" t="str">
        <x:v>Subaru</x:v>
      </x:c>
      <x:c r="J10" s="49" t="str">
        <x:v>Ascent</x:v>
      </x:c>
      <x:c r="K10" s="49" t="str">
        <x:v>Touring</x:v>
      </x:c>
      <x:c r="L10" s="49" t="str">
        <x:v>2026 Subaru Ascent Touring</x:v>
      </x:c>
      <x:c r="M10" s="197" t="n">
        <x:v>1</x:v>
      </x:c>
      <x:c r="N10" s="201" t="n">
        <x:v>48982</x:v>
      </x:c>
      <x:c r="O10" s="49" t="str">
        <x:v>Listed</x:v>
      </x:c>
      <x:c r="P10" s="49" t="str">
        <x:v>VEH-9C74F23976A3</x:v>
      </x:c>
      <x:c r="Q10" s="49" t="str">
        <x:v>ARPI9C74F23976A3D</x:v>
      </x:c>
      <x:c r="R10" s="193" t="n">
        <x:v>1</x:v>
      </x:c>
      <x:c r="S10" s="49" t="str">
        <x:v>Sanitized public reference data</x:v>
      </x:c>
    </x:row>
    <x:row r="11" ht="20" customHeight="1">
      <x:c r="A11" s="49" t="str">
        <x:v>GSA002-20260802-0010</x:v>
      </x:c>
      <x:c r="B11" s="49" t="str">
        <x:v>GSA-002</x:v>
      </x:c>
      <x:c r="C11" s="49" t="str">
        <x:v>Granite Subaru of Manchester</x:v>
      </x:c>
      <x:c r="D11" s="189" t="n">
        <x:v>46236</x:v>
      </x:c>
      <x:c r="E11" s="49" t="str">
        <x:v>GSA002-20260802-001</x:v>
      </x:c>
      <x:c r="F11" s="49" t="str">
        <x:v>sanitized_public_inventory_reference</x:v>
      </x:c>
      <x:c r="G11" s="49" t="str">
        <x:v>New</x:v>
      </x:c>
      <x:c r="H11" s="193" t="n">
        <x:v>2026</x:v>
      </x:c>
      <x:c r="I11" s="49" t="str">
        <x:v>Subaru</x:v>
      </x:c>
      <x:c r="J11" s="49" t="str">
        <x:v>Crosstrek</x:v>
      </x:c>
      <x:c r="K11" s="49" t="str">
        <x:v>Wilderness</x:v>
      </x:c>
      <x:c r="L11" s="49" t="str">
        <x:v>2026 Subaru Crosstrek Wilderness</x:v>
      </x:c>
      <x:c r="M11" s="197" t="n">
        <x:v>1</x:v>
      </x:c>
      <x:c r="N11" s="201" t="n">
        <x:v>36671</x:v>
      </x:c>
      <x:c r="O11" s="49" t="str">
        <x:v>Listed</x:v>
      </x:c>
      <x:c r="P11" s="49" t="str">
        <x:v>VEH-FD28093556C9</x:v>
      </x:c>
      <x:c r="Q11" s="49" t="str">
        <x:v>ARPIFD28093556C95</x:v>
      </x:c>
      <x:c r="R11" s="193" t="n">
        <x:v>1</x:v>
      </x:c>
      <x:c r="S11" s="49" t="str">
        <x:v>Sanitized public reference data</x:v>
      </x:c>
    </x:row>
    <x:row r="12" ht="20" customHeight="1">
      <x:c r="A12" s="49" t="str">
        <x:v>GSA002-20260802-0011</x:v>
      </x:c>
      <x:c r="B12" s="49" t="str">
        <x:v>GSA-002</x:v>
      </x:c>
      <x:c r="C12" s="49" t="str">
        <x:v>Granite Subaru of Manchester</x:v>
      </x:c>
      <x:c r="D12" s="189" t="n">
        <x:v>46236</x:v>
      </x:c>
      <x:c r="E12" s="49" t="str">
        <x:v>GSA002-20260802-001</x:v>
      </x:c>
      <x:c r="F12" s="49" t="str">
        <x:v>sanitized_public_inventory_reference</x:v>
      </x:c>
      <x:c r="G12" s="49" t="str">
        <x:v>New</x:v>
      </x:c>
      <x:c r="H12" s="193" t="n">
        <x:v>2026</x:v>
      </x:c>
      <x:c r="I12" s="49" t="str">
        <x:v>Subaru</x:v>
      </x:c>
      <x:c r="J12" s="49" t="str">
        <x:v>Forester</x:v>
      </x:c>
      <x:c r="K12" s="49" t="str">
        <x:v>Wilderness</x:v>
      </x:c>
      <x:c r="L12" s="49" t="str">
        <x:v>2026 Subaru Forester Wilderness</x:v>
      </x:c>
      <x:c r="M12" s="197" t="n">
        <x:v>1</x:v>
      </x:c>
      <x:c r="N12" s="201" t="n">
        <x:v>37401</x:v>
      </x:c>
      <x:c r="O12" s="49" t="str">
        <x:v>Listed</x:v>
      </x:c>
      <x:c r="P12" s="49" t="str">
        <x:v>VEH-EE5542246F32</x:v>
      </x:c>
      <x:c r="Q12" s="49" t="str">
        <x:v>ARPIEE5542246F32B</x:v>
      </x:c>
      <x:c r="R12" s="193" t="n">
        <x:v>1</x:v>
      </x:c>
      <x:c r="S12" s="49" t="str">
        <x:v>Sanitized public reference data</x:v>
      </x:c>
    </x:row>
    <x:row r="13" ht="20" customHeight="1">
      <x:c r="A13" s="49" t="str">
        <x:v>GSA002-20260802-0012</x:v>
      </x:c>
      <x:c r="B13" s="49" t="str">
        <x:v>GSA-002</x:v>
      </x:c>
      <x:c r="C13" s="49" t="str">
        <x:v>Granite Subaru of Manchester</x:v>
      </x:c>
      <x:c r="D13" s="189" t="n">
        <x:v>46236</x:v>
      </x:c>
      <x:c r="E13" s="49" t="str">
        <x:v>GSA002-20260802-001</x:v>
      </x:c>
      <x:c r="F13" s="49" t="str">
        <x:v>sanitized_public_inventory_reference</x:v>
      </x:c>
      <x:c r="G13" s="49" t="str">
        <x:v>Used</x:v>
      </x:c>
      <x:c r="H13" s="193" t="n">
        <x:v>2024</x:v>
      </x:c>
      <x:c r="I13" s="49" t="str">
        <x:v>Mazda</x:v>
      </x:c>
      <x:c r="J13" s="49" t="str">
        <x:v>CX-50</x:v>
      </x:c>
      <x:c r="K13" s="49" t="str">
        <x:v>2.5 Turbo Premium Package</x:v>
      </x:c>
      <x:c r="L13" s="49" t="str">
        <x:v>2024 Mazda CX-50 2.5 Turbo Premium Package</x:v>
      </x:c>
      <x:c r="M13" s="197" t="n">
        <x:v>26269</x:v>
      </x:c>
      <x:c r="N13" s="201" t="n">
        <x:v>33295</x:v>
      </x:c>
      <x:c r="O13" s="49" t="str">
        <x:v>Listed</x:v>
      </x:c>
      <x:c r="P13" s="49" t="str">
        <x:v>VEH-791735F1D362</x:v>
      </x:c>
      <x:c r="Q13" s="49" t="str">
        <x:v>ARPI791735F1D362A</x:v>
      </x:c>
      <x:c r="R13" s="193" t="n">
        <x:v>1</x:v>
      </x:c>
      <x:c r="S13" s="49" t="str">
        <x:v>Sanitized public reference data</x:v>
      </x:c>
    </x:row>
    <x:row r="14" ht="20" customHeight="1">
      <x:c r="A14" s="49" t="str">
        <x:v>GSA002-20260802-0013</x:v>
      </x:c>
      <x:c r="B14" s="49" t="str">
        <x:v>GSA-002</x:v>
      </x:c>
      <x:c r="C14" s="49" t="str">
        <x:v>Granite Subaru of Manchester</x:v>
      </x:c>
      <x:c r="D14" s="189" t="n">
        <x:v>46236</x:v>
      </x:c>
      <x:c r="E14" s="49" t="str">
        <x:v>GSA002-20260802-001</x:v>
      </x:c>
      <x:c r="F14" s="49" t="str">
        <x:v>sanitized_public_inventory_reference</x:v>
      </x:c>
      <x:c r="G14" s="49" t="str">
        <x:v>Used</x:v>
      </x:c>
      <x:c r="H14" s="193" t="n">
        <x:v>2024</x:v>
      </x:c>
      <x:c r="I14" s="49" t="str">
        <x:v>Subaru</x:v>
      </x:c>
      <x:c r="J14" s="49" t="str">
        <x:v>Crosstrek</x:v>
      </x:c>
      <x:c r="K14" s="49" t="str">
        <x:v>Base</x:v>
      </x:c>
      <x:c r="L14" s="49" t="str">
        <x:v>2024 Subaru Crosstrek Base</x:v>
      </x:c>
      <x:c r="M14" s="197" t="n">
        <x:v>29518</x:v>
      </x:c>
      <x:c r="N14" s="201" t="n">
        <x:v>24995</x:v>
      </x:c>
      <x:c r="O14" s="49" t="str">
        <x:v>Listed</x:v>
      </x:c>
      <x:c r="P14" s="49" t="str">
        <x:v>VEH-FE6294517953</x:v>
      </x:c>
      <x:c r="Q14" s="49" t="str">
        <x:v>ARPIFE62945179532</x:v>
      </x:c>
      <x:c r="R14" s="193" t="n">
        <x:v>1</x:v>
      </x:c>
      <x:c r="S14" s="49" t="str">
        <x:v>Sanitized public reference data</x:v>
      </x:c>
    </x:row>
    <x:row r="15" ht="20" customHeight="1">
      <x:c r="A15" s="49" t="str">
        <x:v>GSA002-20260802-0014</x:v>
      </x:c>
      <x:c r="B15" s="49" t="str">
        <x:v>GSA-002</x:v>
      </x:c>
      <x:c r="C15" s="49" t="str">
        <x:v>Granite Subaru of Manchester</x:v>
      </x:c>
      <x:c r="D15" s="189" t="n">
        <x:v>46236</x:v>
      </x:c>
      <x:c r="E15" s="49" t="str">
        <x:v>GSA002-20260802-001</x:v>
      </x:c>
      <x:c r="F15" s="49" t="str">
        <x:v>sanitized_public_inventory_reference</x:v>
      </x:c>
      <x:c r="G15" s="49" t="str">
        <x:v>New</x:v>
      </x:c>
      <x:c r="H15" s="193" t="n">
        <x:v>2026</x:v>
      </x:c>
      <x:c r="I15" s="49" t="str">
        <x:v>Subaru</x:v>
      </x:c>
      <x:c r="J15" s="49" t="str">
        <x:v>Impreza</x:v>
      </x:c>
      <x:c r="K15" s="49" t="str">
        <x:v>Sport</x:v>
      </x:c>
      <x:c r="L15" s="49" t="str">
        <x:v>2026 Subaru Impreza Sport</x:v>
      </x:c>
      <x:c r="M15" s="197" t="n">
        <x:v>1</x:v>
      </x:c>
      <x:c r="N15" s="201" t="n">
        <x:v>29334</x:v>
      </x:c>
      <x:c r="O15" s="49" t="str">
        <x:v>Listed</x:v>
      </x:c>
      <x:c r="P15" s="49" t="str">
        <x:v>VEH-01B94C8226D3</x:v>
      </x:c>
      <x:c r="Q15" s="49" t="str">
        <x:v>ARPI01B94C8226D3B</x:v>
      </x:c>
      <x:c r="R15" s="193" t="n">
        <x:v>1</x:v>
      </x:c>
      <x:c r="S15" s="49" t="str">
        <x:v>Sanitized public reference data</x:v>
      </x:c>
    </x:row>
    <x:row r="16" ht="20" customHeight="1">
      <x:c r="A16" s="49" t="str">
        <x:v>GSA002-20260802-0015</x:v>
      </x:c>
      <x:c r="B16" s="49" t="str">
        <x:v>GSA-002</x:v>
      </x:c>
      <x:c r="C16" s="49" t="str">
        <x:v>Granite Subaru of Manchester</x:v>
      </x:c>
      <x:c r="D16" s="189" t="n">
        <x:v>46236</x:v>
      </x:c>
      <x:c r="E16" s="49" t="str">
        <x:v>GSA002-20260802-001</x:v>
      </x:c>
      <x:c r="F16" s="49" t="str">
        <x:v>sanitized_public_inventory_reference</x:v>
      </x:c>
      <x:c r="G16" s="49" t="str">
        <x:v>Used</x:v>
      </x:c>
      <x:c r="H16" s="193" t="n">
        <x:v>2025</x:v>
      </x:c>
      <x:c r="I16" s="49" t="str">
        <x:v>Subaru</x:v>
      </x:c>
      <x:c r="J16" s="49" t="str">
        <x:v>Impreza</x:v>
      </x:c>
      <x:c r="K16" s="49" t="str">
        <x:v>Base</x:v>
      </x:c>
      <x:c r="L16" s="49" t="str">
        <x:v>2025 Subaru Impreza Base</x:v>
      </x:c>
      <x:c r="M16" s="197" t="n">
        <x:v>1073</x:v>
      </x:c>
      <x:c r="N16" s="201" t="n">
        <x:v>24795</x:v>
      </x:c>
      <x:c r="O16" s="49" t="str">
        <x:v>Listed</x:v>
      </x:c>
      <x:c r="P16" s="49" t="str">
        <x:v>VEH-40C586348C2A</x:v>
      </x:c>
      <x:c r="Q16" s="49" t="str">
        <x:v>ARPI40C586348C2A7</x:v>
      </x:c>
      <x:c r="R16" s="193" t="n">
        <x:v>1</x:v>
      </x:c>
      <x:c r="S16" s="49" t="str">
        <x:v>Sanitized public reference data</x:v>
      </x:c>
    </x:row>
    <x:row r="17" ht="20" customHeight="1">
      <x:c r="A17" s="49" t="str">
        <x:v>GSA002-20260802-0016</x:v>
      </x:c>
      <x:c r="B17" s="49" t="str">
        <x:v>GSA-002</x:v>
      </x:c>
      <x:c r="C17" s="49" t="str">
        <x:v>Granite Subaru of Manchester</x:v>
      </x:c>
      <x:c r="D17" s="189" t="n">
        <x:v>46236</x:v>
      </x:c>
      <x:c r="E17" s="49" t="str">
        <x:v>GSA002-20260802-001</x:v>
      </x:c>
      <x:c r="F17" s="49" t="str">
        <x:v>sanitized_public_inventory_reference</x:v>
      </x:c>
      <x:c r="G17" s="49" t="str">
        <x:v>Used</x:v>
      </x:c>
      <x:c r="H17" s="193" t="n">
        <x:v>2024</x:v>
      </x:c>
      <x:c r="I17" s="49" t="str">
        <x:v>Subaru</x:v>
      </x:c>
      <x:c r="J17" s="49" t="str">
        <x:v>Legacy</x:v>
      </x:c>
      <x:c r="K17" s="49" t="str"/>
      <x:c r="L17" s="49" t="str">
        <x:v>2024 Subaru Legacy</x:v>
      </x:c>
      <x:c r="M17" s="197" t="n">
        <x:v>18706</x:v>
      </x:c>
      <x:c r="N17" s="201" t="n">
        <x:v>23395</x:v>
      </x:c>
      <x:c r="O17" s="49" t="str">
        <x:v>Listed</x:v>
      </x:c>
      <x:c r="P17" s="49" t="str">
        <x:v>VEH-67099DF39171</x:v>
      </x:c>
      <x:c r="Q17" s="49" t="str">
        <x:v>ARPI67099DF391715</x:v>
      </x:c>
      <x:c r="R17" s="193" t="n">
        <x:v>1</x:v>
      </x:c>
      <x:c r="S17" s="49" t="str">
        <x:v>Sanitized public reference data</x:v>
      </x:c>
    </x:row>
    <x:row r="18" ht="20" customHeight="1">
      <x:c r="A18" s="49" t="str">
        <x:v>GSA002-20260802-0017</x:v>
      </x:c>
      <x:c r="B18" s="49" t="str">
        <x:v>GSA-002</x:v>
      </x:c>
      <x:c r="C18" s="49" t="str">
        <x:v>Granite Subaru of Manchester</x:v>
      </x:c>
      <x:c r="D18" s="189" t="n">
        <x:v>46236</x:v>
      </x:c>
      <x:c r="E18" s="49" t="str">
        <x:v>GSA002-20260802-001</x:v>
      </x:c>
      <x:c r="F18" s="49" t="str">
        <x:v>sanitized_public_inventory_reference</x:v>
      </x:c>
      <x:c r="G18" s="49" t="str">
        <x:v>Used</x:v>
      </x:c>
      <x:c r="H18" s="193" t="n">
        <x:v>2020</x:v>
      </x:c>
      <x:c r="I18" s="49" t="str">
        <x:v>Ford</x:v>
      </x:c>
      <x:c r="J18" s="49" t="str">
        <x:v>Edge</x:v>
      </x:c>
      <x:c r="K18" s="49" t="str">
        <x:v>SEL</x:v>
      </x:c>
      <x:c r="L18" s="49" t="str">
        <x:v>2020 Ford Edge SEL</x:v>
      </x:c>
      <x:c r="M18" s="197" t="n">
        <x:v>67518</x:v>
      </x:c>
      <x:c r="N18" s="201" t="n">
        <x:v>17895</x:v>
      </x:c>
      <x:c r="O18" s="49" t="str">
        <x:v>Listed</x:v>
      </x:c>
      <x:c r="P18" s="49" t="str">
        <x:v>VEH-E8A1F6FE15B3</x:v>
      </x:c>
      <x:c r="Q18" s="49" t="str">
        <x:v>ARPIE8A1F6FE15B39</x:v>
      </x:c>
      <x:c r="R18" s="193" t="n">
        <x:v>1</x:v>
      </x:c>
      <x:c r="S18" s="49" t="str">
        <x:v>Sanitized public reference data</x:v>
      </x:c>
    </x:row>
    <x:row r="19" ht="20" customHeight="1">
      <x:c r="A19" s="49" t="str">
        <x:v>GSA002-20260802-0018</x:v>
      </x:c>
      <x:c r="B19" s="49" t="str">
        <x:v>GSA-002</x:v>
      </x:c>
      <x:c r="C19" s="49" t="str">
        <x:v>Granite Subaru of Manchester</x:v>
      </x:c>
      <x:c r="D19" s="189" t="n">
        <x:v>46236</x:v>
      </x:c>
      <x:c r="E19" s="49" t="str">
        <x:v>GSA002-20260802-001</x:v>
      </x:c>
      <x:c r="F19" s="49" t="str">
        <x:v>sanitized_public_inventory_reference</x:v>
      </x:c>
      <x:c r="G19" s="49" t="str">
        <x:v>Used</x:v>
      </x:c>
      <x:c r="H19" s="193" t="n">
        <x:v>2025</x:v>
      </x:c>
      <x:c r="I19" s="49" t="str">
        <x:v>Subaru</x:v>
      </x:c>
      <x:c r="J19" s="49" t="str">
        <x:v>Forester Hybrid</x:v>
      </x:c>
      <x:c r="K19" s="49" t="str">
        <x:v>Limited</x:v>
      </x:c>
      <x:c r="L19" s="49" t="str">
        <x:v>2025 Subaru Forester Hybrid Limited</x:v>
      </x:c>
      <x:c r="M19" s="197" t="n">
        <x:v>12942</x:v>
      </x:c>
      <x:c r="N19" s="201" t="n">
        <x:v>36995</x:v>
      </x:c>
      <x:c r="O19" s="49" t="str">
        <x:v>Listed</x:v>
      </x:c>
      <x:c r="P19" s="49" t="str">
        <x:v>VEH-E3C3C9656ADF</x:v>
      </x:c>
      <x:c r="Q19" s="49" t="str">
        <x:v>ARPIE3C3C9656ADF1</x:v>
      </x:c>
      <x:c r="R19" s="193" t="n">
        <x:v>1</x:v>
      </x:c>
      <x:c r="S19" s="49" t="str">
        <x:v>Sanitized public reference data</x:v>
      </x:c>
    </x:row>
    <x:row r="20" ht="20" customHeight="1">
      <x:c r="A20" s="49" t="str">
        <x:v>GSA002-20260802-0019</x:v>
      </x:c>
      <x:c r="B20" s="49" t="str">
        <x:v>GSA-002</x:v>
      </x:c>
      <x:c r="C20" s="49" t="str">
        <x:v>Granite Subaru of Manchester</x:v>
      </x:c>
      <x:c r="D20" s="189" t="n">
        <x:v>46236</x:v>
      </x:c>
      <x:c r="E20" s="49" t="str">
        <x:v>GSA002-20260802-001</x:v>
      </x:c>
      <x:c r="F20" s="49" t="str">
        <x:v>sanitized_public_inventory_reference</x:v>
      </x:c>
      <x:c r="G20" s="49" t="str">
        <x:v>Used</x:v>
      </x:c>
      <x:c r="H20" s="193" t="n">
        <x:v>2021</x:v>
      </x:c>
      <x:c r="I20" s="49" t="str">
        <x:v>Subaru</x:v>
      </x:c>
      <x:c r="J20" s="49" t="str">
        <x:v>Ascent</x:v>
      </x:c>
      <x:c r="K20" s="49" t="str">
        <x:v>Premium 8-Passenger</x:v>
      </x:c>
      <x:c r="L20" s="49" t="str">
        <x:v>2021 Subaru Ascent Premium 8-Passenger</x:v>
      </x:c>
      <x:c r="M20" s="197" t="n">
        <x:v>91711</x:v>
      </x:c>
      <x:c r="N20" s="201" t="n">
        <x:v>20295</x:v>
      </x:c>
      <x:c r="O20" s="49" t="str">
        <x:v>Listed</x:v>
      </x:c>
      <x:c r="P20" s="49" t="str">
        <x:v>VEH-6EB23B5876BD</x:v>
      </x:c>
      <x:c r="Q20" s="49" t="str">
        <x:v>ARPI6EB23B5876BD8</x:v>
      </x:c>
      <x:c r="R20" s="193" t="n">
        <x:v>1</x:v>
      </x:c>
      <x:c r="S20" s="49" t="str">
        <x:v>Sanitized public reference data</x:v>
      </x:c>
    </x:row>
    <x:row r="21" ht="20" customHeight="1">
      <x:c r="A21" s="49" t="str">
        <x:v>GSA002-20260802-0020</x:v>
      </x:c>
      <x:c r="B21" s="49" t="str">
        <x:v>GSA-002</x:v>
      </x:c>
      <x:c r="C21" s="49" t="str">
        <x:v>Granite Subaru of Manchester</x:v>
      </x:c>
      <x:c r="D21" s="189" t="n">
        <x:v>46236</x:v>
      </x:c>
      <x:c r="E21" s="49" t="str">
        <x:v>GSA002-20260802-001</x:v>
      </x:c>
      <x:c r="F21" s="49" t="str">
        <x:v>sanitized_public_inventory_reference</x:v>
      </x:c>
      <x:c r="G21" s="49" t="str">
        <x:v>New</x:v>
      </x:c>
      <x:c r="H21" s="193" t="n">
        <x:v>2026</x:v>
      </x:c>
      <x:c r="I21" s="49" t="str">
        <x:v>Subaru</x:v>
      </x:c>
      <x:c r="J21" s="49" t="str">
        <x:v>Crosstrek</x:v>
      </x:c>
      <x:c r="K21" s="49" t="str">
        <x:v>Premium</x:v>
      </x:c>
      <x:c r="L21" s="49" t="str">
        <x:v>2026 Subaru Crosstrek Premium</x:v>
      </x:c>
      <x:c r="M21" s="197" t="n">
        <x:v>1</x:v>
      </x:c>
      <x:c r="N21" s="201" t="n">
        <x:v>28557</x:v>
      </x:c>
      <x:c r="O21" s="49" t="str">
        <x:v>Listed</x:v>
      </x:c>
      <x:c r="P21" s="49" t="str">
        <x:v>VEH-DA4CCCFD7C7A</x:v>
      </x:c>
      <x:c r="Q21" s="49" t="str">
        <x:v>ARPIDA4CCCFD7C7A9</x:v>
      </x:c>
      <x:c r="R21" s="193" t="n">
        <x:v>1</x:v>
      </x:c>
      <x:c r="S21" s="49" t="str">
        <x:v>Sanitized public reference data</x:v>
      </x:c>
    </x:row>
    <x:row r="22" ht="20" customHeight="1">
      <x:c r="A22" s="49" t="str">
        <x:v>GSA002-20260802-0021</x:v>
      </x:c>
      <x:c r="B22" s="49" t="str">
        <x:v>GSA-002</x:v>
      </x:c>
      <x:c r="C22" s="49" t="str">
        <x:v>Granite Subaru of Manchester</x:v>
      </x:c>
      <x:c r="D22" s="189" t="n">
        <x:v>46236</x:v>
      </x:c>
      <x:c r="E22" s="49" t="str">
        <x:v>GSA002-20260802-001</x:v>
      </x:c>
      <x:c r="F22" s="49" t="str">
        <x:v>sanitized_public_inventory_reference</x:v>
      </x:c>
      <x:c r="G22" s="49" t="str">
        <x:v>Used</x:v>
      </x:c>
      <x:c r="H22" s="193" t="n">
        <x:v>2024</x:v>
      </x:c>
      <x:c r="I22" s="49" t="str">
        <x:v>Subaru</x:v>
      </x:c>
      <x:c r="J22" s="49" t="str">
        <x:v>Crosstrek</x:v>
      </x:c>
      <x:c r="K22" s="49" t="str">
        <x:v>Sport</x:v>
      </x:c>
      <x:c r="L22" s="49" t="str">
        <x:v>2024 Subaru Crosstrek Sport</x:v>
      </x:c>
      <x:c r="M22" s="197" t="n">
        <x:v>37505</x:v>
      </x:c>
      <x:c r="N22" s="201" t="n">
        <x:v>27095</x:v>
      </x:c>
      <x:c r="O22" s="49" t="str">
        <x:v>Listed</x:v>
      </x:c>
      <x:c r="P22" s="49" t="str">
        <x:v>VEH-83634F5BF1E7</x:v>
      </x:c>
      <x:c r="Q22" s="49" t="str">
        <x:v>ARPI83634F5BF1E72</x:v>
      </x:c>
      <x:c r="R22" s="193" t="n">
        <x:v>1</x:v>
      </x:c>
      <x:c r="S22" s="49" t="str">
        <x:v>Sanitized public reference data</x:v>
      </x:c>
    </x:row>
    <x:row r="23" ht="20" customHeight="1">
      <x:c r="A23" s="49" t="str">
        <x:v>GSA002-20260802-0022</x:v>
      </x:c>
      <x:c r="B23" s="49" t="str">
        <x:v>GSA-002</x:v>
      </x:c>
      <x:c r="C23" s="49" t="str">
        <x:v>Granite Subaru of Manchester</x:v>
      </x:c>
      <x:c r="D23" s="189" t="n">
        <x:v>46236</x:v>
      </x:c>
      <x:c r="E23" s="49" t="str">
        <x:v>GSA002-20260802-001</x:v>
      </x:c>
      <x:c r="F23" s="49" t="str">
        <x:v>sanitized_public_inventory_reference</x:v>
      </x:c>
      <x:c r="G23" s="49" t="str">
        <x:v>Used</x:v>
      </x:c>
      <x:c r="H23" s="193" t="n">
        <x:v>2023</x:v>
      </x:c>
      <x:c r="I23" s="49" t="str">
        <x:v>Subaru</x:v>
      </x:c>
      <x:c r="J23" s="49" t="str">
        <x:v>Forester</x:v>
      </x:c>
      <x:c r="K23" s="49" t="str">
        <x:v>2.5i Premium</x:v>
      </x:c>
      <x:c r="L23" s="49" t="str">
        <x:v>2023 Subaru Forester 2.5i Premium</x:v>
      </x:c>
      <x:c r="M23" s="197" t="n">
        <x:v>25540</x:v>
      </x:c>
      <x:c r="N23" s="201" t="n">
        <x:v>28195</x:v>
      </x:c>
      <x:c r="O23" s="49" t="str">
        <x:v>Listed</x:v>
      </x:c>
      <x:c r="P23" s="49" t="str">
        <x:v>VEH-A3C181666007</x:v>
      </x:c>
      <x:c r="Q23" s="49" t="str">
        <x:v>ARPIA3C181666007E</x:v>
      </x:c>
      <x:c r="R23" s="193" t="n">
        <x:v>1</x:v>
      </x:c>
      <x:c r="S23" s="49" t="str">
        <x:v>Sanitized public reference data</x:v>
      </x:c>
    </x:row>
    <x:row r="24" ht="20" customHeight="1">
      <x:c r="A24" s="49" t="str">
        <x:v>GSA002-20260802-0023</x:v>
      </x:c>
      <x:c r="B24" s="49" t="str">
        <x:v>GSA-002</x:v>
      </x:c>
      <x:c r="C24" s="49" t="str">
        <x:v>Granite Subaru of Manchester</x:v>
      </x:c>
      <x:c r="D24" s="189" t="n">
        <x:v>46236</x:v>
      </x:c>
      <x:c r="E24" s="49" t="str">
        <x:v>GSA002-20260802-001</x:v>
      </x:c>
      <x:c r="F24" s="49" t="str">
        <x:v>sanitized_public_inventory_reference</x:v>
      </x:c>
      <x:c r="G24" s="49" t="str">
        <x:v>New</x:v>
      </x:c>
      <x:c r="H24" s="193" t="n">
        <x:v>2026</x:v>
      </x:c>
      <x:c r="I24" s="49" t="str">
        <x:v>Subaru</x:v>
      </x:c>
      <x:c r="J24" s="49" t="str">
        <x:v>Crosstrek</x:v>
      </x:c>
      <x:c r="K24" s="49" t="str">
        <x:v>Limited</x:v>
      </x:c>
      <x:c r="L24" s="49" t="str">
        <x:v>2026 Subaru Crosstrek Limited</x:v>
      </x:c>
      <x:c r="M24" s="197" t="n">
        <x:v>1</x:v>
      </x:c>
      <x:c r="N24" s="201" t="n">
        <x:v>37197</x:v>
      </x:c>
      <x:c r="O24" s="49" t="str">
        <x:v>Listed</x:v>
      </x:c>
      <x:c r="P24" s="49" t="str">
        <x:v>VEH-A8A4C8B8BD04</x:v>
      </x:c>
      <x:c r="Q24" s="49" t="str">
        <x:v>ARPIA8A4C8B8BD047</x:v>
      </x:c>
      <x:c r="R24" s="193" t="n">
        <x:v>1</x:v>
      </x:c>
      <x:c r="S24" s="49" t="str">
        <x:v>Sanitized public reference data</x:v>
      </x:c>
    </x:row>
    <x:row r="25" ht="20" customHeight="1">
      <x:c r="A25" s="187" t="str">
        <x:v>GSA002-20260802-0024</x:v>
      </x:c>
      <x:c r="B25" s="187" t="str">
        <x:v>GSA-002</x:v>
      </x:c>
      <x:c r="C25" s="187" t="str">
        <x:v>Granite Subaru of Manchester</x:v>
      </x:c>
      <x:c r="D25" s="190" t="n">
        <x:v>46236</x:v>
      </x:c>
      <x:c r="E25" s="187" t="str">
        <x:v>GSA002-20260802-001</x:v>
      </x:c>
      <x:c r="F25" s="187" t="str">
        <x:v>sanitized_public_inventory_reference</x:v>
      </x:c>
      <x:c r="G25" s="187" t="str">
        <x:v>Used</x:v>
      </x:c>
      <x:c r="H25" s="194" t="n">
        <x:v>2024</x:v>
      </x:c>
      <x:c r="I25" s="187" t="str">
        <x:v>Subaru</x:v>
      </x:c>
      <x:c r="J25" s="187" t="str">
        <x:v>Crosstrek</x:v>
      </x:c>
      <x:c r="K25" s="187" t="str">
        <x:v>Wilderness</x:v>
      </x:c>
      <x:c r="L25" s="187" t="str">
        <x:v>2024 Subaru Crosstrek Wilderness</x:v>
      </x:c>
      <x:c r="M25" s="198" t="n">
        <x:v>29801</x:v>
      </x:c>
      <x:c r="N25" s="202" t="n">
        <x:v>29795</x:v>
      </x:c>
      <x:c r="O25" s="187" t="str">
        <x:v>Listed</x:v>
      </x:c>
      <x:c r="P25" s="187" t="str">
        <x:v>VEH-11F73B9D5B3E</x:v>
      </x:c>
      <x:c r="Q25" s="187" t="str">
        <x:v>ARPI11F73B9D5B3EE</x:v>
      </x:c>
      <x:c r="R25" s="194" t="n">
        <x:v>1</x:v>
      </x:c>
      <x:c r="S25" s="187" t="str">
        <x:v>Sanitized public reference data</x:v>
      </x:c>
    </x:row>
  </x:sheetData>
  <x:conditionalFormatting sqref="G2:G25">
    <x:cfRule type="expression" dxfId="0" priority="1">
      <x:formula>G2="Used"</x:formula>
    </x:cfRule>
  </x:conditionalFormatting>
  <x:conditionalFormatting sqref="N2:N25">
    <x:cfRule type="dataBar" priority="2">
      <x:dataBar>
        <x:cfvo type="min"/>
        <x:cfvo type="max"/>
        <x:color rgb="FF0A6C8B"/>
      </x:dataBar>
      <x:extLst>
        <x:ext xmlns:x14="http://schemas.microsoft.com/office/spreadsheetml/2009/9/main" uri="{B025F937-C7B1-47D3-B67F-A62EFF666E3E}">
          <x14:id>{75187EE9-2A16-5A5E-76BC-21EEE32E1F4E}</x14:id>
        </x:ext>
      </x:extLst>
    </x:cfRule>
  </x:conditionalFormatting>
  <x:dataValidations count="2">
    <x:dataValidation type="list" sqref="G2:G25">
      <x:formula1>"New,Used"</x:formula1>
    </x:dataValidation>
    <x:dataValidation type="list" sqref="O2:O25">
      <x:formula1>"Listed,Call for price"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1af59915e04e6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5187EE9-2A16-5A5E-76BC-21EEE32E1F4E}">
            <x14:dataBar gradient="1">
              <x14:cfvo type="min"/>
              <x14:cfvo type="max"/>
              <x14:fillColor rgb="FF0A6C8B"/>
            </x14:dataBar>
          </x14:cfRule>
          <xm:sqref>N2:N25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14" hidden="0" customWidth="1"/>
    <x:col min="5" max="5" width="13" hidden="0" customWidth="1"/>
    <x:col min="6" max="6" width="15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28" customHeight="1">
      <x:c r="A1" s="5" t="str">
        <x:v>ARPI Inventory Operations | Granite Subaru Model Summary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</x:row>
    <x:row r="4">
      <x:c r="A4" s="205" t="str">
        <x:v>Condition</x:v>
      </x:c>
      <x:c r="B4" s="271" t="str">
        <x:v>Make</x:v>
      </x:c>
      <x:c r="C4" s="271" t="str">
        <x:v>Model</x:v>
      </x:c>
      <x:c r="D4" s="271" t="str">
        <x:v>Visible Units</x:v>
      </x:c>
      <x:c r="E4" s="271" t="str">
        <x:v>Listed Units</x:v>
      </x:c>
      <x:c r="F4" s="271" t="str">
        <x:v>Call for Price</x:v>
      </x:c>
      <x:c r="G4" s="271" t="str">
        <x:v>Average Advertised Price</x:v>
      </x:c>
      <x:c r="H4" s="271" t="str">
        <x:v>Minimum Advertised Price</x:v>
      </x:c>
      <x:c r="I4" s="206" t="str">
        <x:v>Maximum Advertised Price</x:v>
      </x:c>
    </x:row>
    <x:row r="5">
      <x:c r="A5" s="48" t="str">
        <x:v>New</x:v>
      </x:c>
      <x:c r="B5" s="49" t="str">
        <x:v>Subaru</x:v>
      </x:c>
      <x:c r="C5" s="49" t="str">
        <x:v>Crosstrek</x:v>
      </x:c>
      <x:c r="D5" s="193" t="n">
        <x:f>COUNTIFS(Inventory!$G$2:$G$25,$A5,Inventory!$I$2:$I$25,$B5,Inventory!$J$2:$J$25,$C5)</x:f>
        <x:v>3</x:v>
      </x:c>
      <x:c r="E5" s="193" t="n">
        <x:f>COUNTIFS(Inventory!$G$2:$G$25,$A5,Inventory!$I$2:$I$25,$B5,Inventory!$J$2:$J$25,$C5,Inventory!$O$2:$O$25,"Listed")</x:f>
        <x:v>3</x:v>
      </x:c>
      <x:c r="F5" s="193" t="n">
        <x:f>COUNTIFS(Inventory!$G$2:$G$25,$A5,Inventory!$I$2:$I$25,$B5,Inventory!$J$2:$J$25,$C5,Inventory!$O$2:$O$25,"Call for price")</x:f>
        <x:v>0</x:v>
      </x:c>
      <x:c r="G5" s="201" t="n">
        <x:f>IF(E5=0,"",SUMIFS(Inventory!$N$2:$N$25,Inventory!$G$2:$G$25,$A5,Inventory!$I$2:$I$25,$B5,Inventory!$J$2:$J$25,$C5,Inventory!$O$2:$O$25,"Listed")/E5)</x:f>
        <x:v>34141.666666666664</x:v>
      </x:c>
      <x:c r="H5" s="201" t="n">
        <x:f>IF(E5=0,"",MINIFS(Inventory!$N$2:$N$25,Inventory!$G$2:$G$25,$A5,Inventory!$I$2:$I$25,$B5,Inventory!$J$2:$J$25,$C5,Inventory!$O$2:$O$25,"Listed"))</x:f>
        <x:v>28557</x:v>
      </x:c>
      <x:c r="I5" s="211" t="n">
        <x:f>IF(E5=0,"",MAXIFS(Inventory!$N$2:$N$25,Inventory!$G$2:$G$25,$A5,Inventory!$I$2:$I$25,$B5,Inventory!$J$2:$J$25,$C5,Inventory!$O$2:$O$25,"Listed"))</x:f>
        <x:v>37197</x:v>
      </x:c>
    </x:row>
    <x:row r="6">
      <x:c r="A6" s="48" t="str">
        <x:v>Used</x:v>
      </x:c>
      <x:c r="B6" s="49" t="str">
        <x:v>Subaru</x:v>
      </x:c>
      <x:c r="C6" s="49" t="str">
        <x:v>Crosstrek</x:v>
      </x:c>
      <x:c r="D6" s="193" t="n">
        <x:f>COUNTIFS(Inventory!$G$2:$G$25,$A6,Inventory!$I$2:$I$25,$B6,Inventory!$J$2:$J$25,$C6)</x:f>
        <x:v>3</x:v>
      </x:c>
      <x:c r="E6" s="193" t="n">
        <x:f>COUNTIFS(Inventory!$G$2:$G$25,$A6,Inventory!$I$2:$I$25,$B6,Inventory!$J$2:$J$25,$C6,Inventory!$O$2:$O$25,"Listed")</x:f>
        <x:v>3</x:v>
      </x:c>
      <x:c r="F6" s="193" t="n">
        <x:f>COUNTIFS(Inventory!$G$2:$G$25,$A6,Inventory!$I$2:$I$25,$B6,Inventory!$J$2:$J$25,$C6,Inventory!$O$2:$O$25,"Call for price")</x:f>
        <x:v>0</x:v>
      </x:c>
      <x:c r="G6" s="201" t="n">
        <x:f>IF(E6=0,"",SUMIFS(Inventory!$N$2:$N$25,Inventory!$G$2:$G$25,$A6,Inventory!$I$2:$I$25,$B6,Inventory!$J$2:$J$25,$C6,Inventory!$O$2:$O$25,"Listed")/E6)</x:f>
        <x:v>27295</x:v>
      </x:c>
      <x:c r="H6" s="201" t="n">
        <x:f>IF(E6=0,"",MINIFS(Inventory!$N$2:$N$25,Inventory!$G$2:$G$25,$A6,Inventory!$I$2:$I$25,$B6,Inventory!$J$2:$J$25,$C6,Inventory!$O$2:$O$25,"Listed"))</x:f>
        <x:v>24995</x:v>
      </x:c>
      <x:c r="I6" s="211" t="n">
        <x:f>IF(E6=0,"",MAXIFS(Inventory!$N$2:$N$25,Inventory!$G$2:$G$25,$A6,Inventory!$I$2:$I$25,$B6,Inventory!$J$2:$J$25,$C6,Inventory!$O$2:$O$25,"Listed"))</x:f>
        <x:v>29795</x:v>
      </x:c>
    </x:row>
    <x:row r="7">
      <x:c r="A7" s="48" t="str">
        <x:v>Used</x:v>
      </x:c>
      <x:c r="B7" s="49" t="str">
        <x:v>Subaru</x:v>
      </x:c>
      <x:c r="C7" s="49" t="str">
        <x:v>Forester</x:v>
      </x:c>
      <x:c r="D7" s="193" t="n">
        <x:f>COUNTIFS(Inventory!$G$2:$G$25,$A7,Inventory!$I$2:$I$25,$B7,Inventory!$J$2:$J$25,$C7)</x:f>
        <x:v>3</x:v>
      </x:c>
      <x:c r="E7" s="193" t="n">
        <x:f>COUNTIFS(Inventory!$G$2:$G$25,$A7,Inventory!$I$2:$I$25,$B7,Inventory!$J$2:$J$25,$C7,Inventory!$O$2:$O$25,"Listed")</x:f>
        <x:v>3</x:v>
      </x:c>
      <x:c r="F7" s="193" t="n">
        <x:f>COUNTIFS(Inventory!$G$2:$G$25,$A7,Inventory!$I$2:$I$25,$B7,Inventory!$J$2:$J$25,$C7,Inventory!$O$2:$O$25,"Call for price")</x:f>
        <x:v>0</x:v>
      </x:c>
      <x:c r="G7" s="201" t="n">
        <x:f>IF(E7=0,"",SUMIFS(Inventory!$N$2:$N$25,Inventory!$G$2:$G$25,$A7,Inventory!$I$2:$I$25,$B7,Inventory!$J$2:$J$25,$C7,Inventory!$O$2:$O$25,"Listed")/E7)</x:f>
        <x:v>28061.666666666668</x:v>
      </x:c>
      <x:c r="H7" s="201" t="n">
        <x:f>IF(E7=0,"",MINIFS(Inventory!$N$2:$N$25,Inventory!$G$2:$G$25,$A7,Inventory!$I$2:$I$25,$B7,Inventory!$J$2:$J$25,$C7,Inventory!$O$2:$O$25,"Listed"))</x:f>
        <x:v>25795</x:v>
      </x:c>
      <x:c r="I7" s="211" t="n">
        <x:f>IF(E7=0,"",MAXIFS(Inventory!$N$2:$N$25,Inventory!$G$2:$G$25,$A7,Inventory!$I$2:$I$25,$B7,Inventory!$J$2:$J$25,$C7,Inventory!$O$2:$O$25,"Listed"))</x:f>
        <x:v>30195</x:v>
      </x:c>
    </x:row>
    <x:row r="8">
      <x:c r="A8" s="48" t="str">
        <x:v>New</x:v>
      </x:c>
      <x:c r="B8" s="49" t="str">
        <x:v>Subaru</x:v>
      </x:c>
      <x:c r="C8" s="49" t="str">
        <x:v>Outback</x:v>
      </x:c>
      <x:c r="D8" s="193" t="n">
        <x:f>COUNTIFS(Inventory!$G$2:$G$25,$A8,Inventory!$I$2:$I$25,$B8,Inventory!$J$2:$J$25,$C8)</x:f>
        <x:v>2</x:v>
      </x:c>
      <x:c r="E8" s="193" t="n">
        <x:f>COUNTIFS(Inventory!$G$2:$G$25,$A8,Inventory!$I$2:$I$25,$B8,Inventory!$J$2:$J$25,$C8,Inventory!$O$2:$O$25,"Listed")</x:f>
        <x:v>2</x:v>
      </x:c>
      <x:c r="F8" s="193" t="n">
        <x:f>COUNTIFS(Inventory!$G$2:$G$25,$A8,Inventory!$I$2:$I$25,$B8,Inventory!$J$2:$J$25,$C8,Inventory!$O$2:$O$25,"Call for price")</x:f>
        <x:v>0</x:v>
      </x:c>
      <x:c r="G8" s="201" t="n">
        <x:f>IF(E8=0,"",SUMIFS(Inventory!$N$2:$N$25,Inventory!$G$2:$G$25,$A8,Inventory!$I$2:$I$25,$B8,Inventory!$J$2:$J$25,$C8,Inventory!$O$2:$O$25,"Listed")/E8)</x:f>
        <x:v>39366</x:v>
      </x:c>
      <x:c r="H8" s="201" t="n">
        <x:f>IF(E8=0,"",MINIFS(Inventory!$N$2:$N$25,Inventory!$G$2:$G$25,$A8,Inventory!$I$2:$I$25,$B8,Inventory!$J$2:$J$25,$C8,Inventory!$O$2:$O$25,"Listed"))</x:f>
        <x:v>37166</x:v>
      </x:c>
      <x:c r="I8" s="211" t="n">
        <x:f>IF(E8=0,"",MAXIFS(Inventory!$N$2:$N$25,Inventory!$G$2:$G$25,$A8,Inventory!$I$2:$I$25,$B8,Inventory!$J$2:$J$25,$C8,Inventory!$O$2:$O$25,"Listed"))</x:f>
        <x:v>41566</x:v>
      </x:c>
    </x:row>
    <x:row r="9">
      <x:c r="A9" s="48" t="str">
        <x:v>New</x:v>
      </x:c>
      <x:c r="B9" s="49" t="str">
        <x:v>Subaru</x:v>
      </x:c>
      <x:c r="C9" s="49" t="str">
        <x:v>Ascent</x:v>
      </x:c>
      <x:c r="D9" s="193" t="n">
        <x:f>COUNTIFS(Inventory!$G$2:$G$25,$A9,Inventory!$I$2:$I$25,$B9,Inventory!$J$2:$J$25,$C9)</x:f>
        <x:v>1</x:v>
      </x:c>
      <x:c r="E9" s="193" t="n">
        <x:f>COUNTIFS(Inventory!$G$2:$G$25,$A9,Inventory!$I$2:$I$25,$B9,Inventory!$J$2:$J$25,$C9,Inventory!$O$2:$O$25,"Listed")</x:f>
        <x:v>1</x:v>
      </x:c>
      <x:c r="F9" s="193" t="n">
        <x:f>COUNTIFS(Inventory!$G$2:$G$25,$A9,Inventory!$I$2:$I$25,$B9,Inventory!$J$2:$J$25,$C9,Inventory!$O$2:$O$25,"Call for price")</x:f>
        <x:v>0</x:v>
      </x:c>
      <x:c r="G9" s="201" t="n">
        <x:f>IF(E9=0,"",SUMIFS(Inventory!$N$2:$N$25,Inventory!$G$2:$G$25,$A9,Inventory!$I$2:$I$25,$B9,Inventory!$J$2:$J$25,$C9,Inventory!$O$2:$O$25,"Listed")/E9)</x:f>
        <x:v>48982</x:v>
      </x:c>
      <x:c r="H9" s="201" t="n">
        <x:f>IF(E9=0,"",MINIFS(Inventory!$N$2:$N$25,Inventory!$G$2:$G$25,$A9,Inventory!$I$2:$I$25,$B9,Inventory!$J$2:$J$25,$C9,Inventory!$O$2:$O$25,"Listed"))</x:f>
        <x:v>48982</x:v>
      </x:c>
      <x:c r="I9" s="211" t="n">
        <x:f>IF(E9=0,"",MAXIFS(Inventory!$N$2:$N$25,Inventory!$G$2:$G$25,$A9,Inventory!$I$2:$I$25,$B9,Inventory!$J$2:$J$25,$C9,Inventory!$O$2:$O$25,"Listed"))</x:f>
        <x:v>48982</x:v>
      </x:c>
    </x:row>
    <x:row r="10">
      <x:c r="A10" s="48" t="str">
        <x:v>New</x:v>
      </x:c>
      <x:c r="B10" s="49" t="str">
        <x:v>Subaru</x:v>
      </x:c>
      <x:c r="C10" s="49" t="str">
        <x:v>Forester</x:v>
      </x:c>
      <x:c r="D10" s="193" t="n">
        <x:f>COUNTIFS(Inventory!$G$2:$G$25,$A10,Inventory!$I$2:$I$25,$B10,Inventory!$J$2:$J$25,$C10)</x:f>
        <x:v>1</x:v>
      </x:c>
      <x:c r="E10" s="193" t="n">
        <x:f>COUNTIFS(Inventory!$G$2:$G$25,$A10,Inventory!$I$2:$I$25,$B10,Inventory!$J$2:$J$25,$C10,Inventory!$O$2:$O$25,"Listed")</x:f>
        <x:v>1</x:v>
      </x:c>
      <x:c r="F10" s="193" t="n">
        <x:f>COUNTIFS(Inventory!$G$2:$G$25,$A10,Inventory!$I$2:$I$25,$B10,Inventory!$J$2:$J$25,$C10,Inventory!$O$2:$O$25,"Call for price")</x:f>
        <x:v>0</x:v>
      </x:c>
      <x:c r="G10" s="201" t="n">
        <x:f>IF(E10=0,"",SUMIFS(Inventory!$N$2:$N$25,Inventory!$G$2:$G$25,$A10,Inventory!$I$2:$I$25,$B10,Inventory!$J$2:$J$25,$C10,Inventory!$O$2:$O$25,"Listed")/E10)</x:f>
        <x:v>37401</x:v>
      </x:c>
      <x:c r="H10" s="201" t="n">
        <x:f>IF(E10=0,"",MINIFS(Inventory!$N$2:$N$25,Inventory!$G$2:$G$25,$A10,Inventory!$I$2:$I$25,$B10,Inventory!$J$2:$J$25,$C10,Inventory!$O$2:$O$25,"Listed"))</x:f>
        <x:v>37401</x:v>
      </x:c>
      <x:c r="I10" s="211" t="n">
        <x:f>IF(E10=0,"",MAXIFS(Inventory!$N$2:$N$25,Inventory!$G$2:$G$25,$A10,Inventory!$I$2:$I$25,$B10,Inventory!$J$2:$J$25,$C10,Inventory!$O$2:$O$25,"Listed"))</x:f>
        <x:v>37401</x:v>
      </x:c>
    </x:row>
    <x:row r="11">
      <x:c r="A11" s="48" t="str">
        <x:v>New</x:v>
      </x:c>
      <x:c r="B11" s="49" t="str">
        <x:v>Subaru</x:v>
      </x:c>
      <x:c r="C11" s="49" t="str">
        <x:v>Impreza</x:v>
      </x:c>
      <x:c r="D11" s="193" t="n">
        <x:f>COUNTIFS(Inventory!$G$2:$G$25,$A11,Inventory!$I$2:$I$25,$B11,Inventory!$J$2:$J$25,$C11)</x:f>
        <x:v>1</x:v>
      </x:c>
      <x:c r="E11" s="193" t="n">
        <x:f>COUNTIFS(Inventory!$G$2:$G$25,$A11,Inventory!$I$2:$I$25,$B11,Inventory!$J$2:$J$25,$C11,Inventory!$O$2:$O$25,"Listed")</x:f>
        <x:v>1</x:v>
      </x:c>
      <x:c r="F11" s="193" t="n">
        <x:f>COUNTIFS(Inventory!$G$2:$G$25,$A11,Inventory!$I$2:$I$25,$B11,Inventory!$J$2:$J$25,$C11,Inventory!$O$2:$O$25,"Call for price")</x:f>
        <x:v>0</x:v>
      </x:c>
      <x:c r="G11" s="201" t="n">
        <x:f>IF(E11=0,"",SUMIFS(Inventory!$N$2:$N$25,Inventory!$G$2:$G$25,$A11,Inventory!$I$2:$I$25,$B11,Inventory!$J$2:$J$25,$C11,Inventory!$O$2:$O$25,"Listed")/E11)</x:f>
        <x:v>29334</x:v>
      </x:c>
      <x:c r="H11" s="201" t="n">
        <x:f>IF(E11=0,"",MINIFS(Inventory!$N$2:$N$25,Inventory!$G$2:$G$25,$A11,Inventory!$I$2:$I$25,$B11,Inventory!$J$2:$J$25,$C11,Inventory!$O$2:$O$25,"Listed"))</x:f>
        <x:v>29334</x:v>
      </x:c>
      <x:c r="I11" s="211" t="n">
        <x:f>IF(E11=0,"",MAXIFS(Inventory!$N$2:$N$25,Inventory!$G$2:$G$25,$A11,Inventory!$I$2:$I$25,$B11,Inventory!$J$2:$J$25,$C11,Inventory!$O$2:$O$25,"Listed"))</x:f>
        <x:v>29334</x:v>
      </x:c>
    </x:row>
    <x:row r="12">
      <x:c r="A12" s="48" t="str">
        <x:v>Used</x:v>
      </x:c>
      <x:c r="B12" s="49" t="str">
        <x:v>Ford</x:v>
      </x:c>
      <x:c r="C12" s="49" t="str">
        <x:v>Edge</x:v>
      </x:c>
      <x:c r="D12" s="193" t="n">
        <x:f>COUNTIFS(Inventory!$G$2:$G$25,$A12,Inventory!$I$2:$I$25,$B12,Inventory!$J$2:$J$25,$C12)</x:f>
        <x:v>1</x:v>
      </x:c>
      <x:c r="E12" s="193" t="n">
        <x:f>COUNTIFS(Inventory!$G$2:$G$25,$A12,Inventory!$I$2:$I$25,$B12,Inventory!$J$2:$J$25,$C12,Inventory!$O$2:$O$25,"Listed")</x:f>
        <x:v>1</x:v>
      </x:c>
      <x:c r="F12" s="193" t="n">
        <x:f>COUNTIFS(Inventory!$G$2:$G$25,$A12,Inventory!$I$2:$I$25,$B12,Inventory!$J$2:$J$25,$C12,Inventory!$O$2:$O$25,"Call for price")</x:f>
        <x:v>0</x:v>
      </x:c>
      <x:c r="G12" s="201" t="n">
        <x:f>IF(E12=0,"",SUMIFS(Inventory!$N$2:$N$25,Inventory!$G$2:$G$25,$A12,Inventory!$I$2:$I$25,$B12,Inventory!$J$2:$J$25,$C12,Inventory!$O$2:$O$25,"Listed")/E12)</x:f>
        <x:v>17895</x:v>
      </x:c>
      <x:c r="H12" s="201" t="n">
        <x:f>IF(E12=0,"",MINIFS(Inventory!$N$2:$N$25,Inventory!$G$2:$G$25,$A12,Inventory!$I$2:$I$25,$B12,Inventory!$J$2:$J$25,$C12,Inventory!$O$2:$O$25,"Listed"))</x:f>
        <x:v>17895</x:v>
      </x:c>
      <x:c r="I12" s="211" t="n">
        <x:f>IF(E12=0,"",MAXIFS(Inventory!$N$2:$N$25,Inventory!$G$2:$G$25,$A12,Inventory!$I$2:$I$25,$B12,Inventory!$J$2:$J$25,$C12,Inventory!$O$2:$O$25,"Listed"))</x:f>
        <x:v>17895</x:v>
      </x:c>
    </x:row>
    <x:row r="13">
      <x:c r="A13" s="48" t="str">
        <x:v>Used</x:v>
      </x:c>
      <x:c r="B13" s="49" t="str">
        <x:v>Honda</x:v>
      </x:c>
      <x:c r="C13" s="49" t="str">
        <x:v>Accord</x:v>
      </x:c>
      <x:c r="D13" s="193" t="n">
        <x:f>COUNTIFS(Inventory!$G$2:$G$25,$A13,Inventory!$I$2:$I$25,$B13,Inventory!$J$2:$J$25,$C13)</x:f>
        <x:v>1</x:v>
      </x:c>
      <x:c r="E13" s="193" t="n">
        <x:f>COUNTIFS(Inventory!$G$2:$G$25,$A13,Inventory!$I$2:$I$25,$B13,Inventory!$J$2:$J$25,$C13,Inventory!$O$2:$O$25,"Listed")</x:f>
        <x:v>1</x:v>
      </x:c>
      <x:c r="F13" s="193" t="n">
        <x:f>COUNTIFS(Inventory!$G$2:$G$25,$A13,Inventory!$I$2:$I$25,$B13,Inventory!$J$2:$J$25,$C13,Inventory!$O$2:$O$25,"Call for price")</x:f>
        <x:v>0</x:v>
      </x:c>
      <x:c r="G13" s="201" t="n">
        <x:f>IF(E13=0,"",SUMIFS(Inventory!$N$2:$N$25,Inventory!$G$2:$G$25,$A13,Inventory!$I$2:$I$25,$B13,Inventory!$J$2:$J$25,$C13,Inventory!$O$2:$O$25,"Listed")/E13)</x:f>
        <x:v>24395</x:v>
      </x:c>
      <x:c r="H13" s="201" t="n">
        <x:f>IF(E13=0,"",MINIFS(Inventory!$N$2:$N$25,Inventory!$G$2:$G$25,$A13,Inventory!$I$2:$I$25,$B13,Inventory!$J$2:$J$25,$C13,Inventory!$O$2:$O$25,"Listed"))</x:f>
        <x:v>24395</x:v>
      </x:c>
      <x:c r="I13" s="211" t="n">
        <x:f>IF(E13=0,"",MAXIFS(Inventory!$N$2:$N$25,Inventory!$G$2:$G$25,$A13,Inventory!$I$2:$I$25,$B13,Inventory!$J$2:$J$25,$C13,Inventory!$O$2:$O$25,"Listed"))</x:f>
        <x:v>24395</x:v>
      </x:c>
    </x:row>
    <x:row r="14">
      <x:c r="A14" s="48" t="str">
        <x:v>Used</x:v>
      </x:c>
      <x:c r="B14" s="49" t="str">
        <x:v>Honda</x:v>
      </x:c>
      <x:c r="C14" s="49" t="str">
        <x:v>Civic</x:v>
      </x:c>
      <x:c r="D14" s="193" t="n">
        <x:f>COUNTIFS(Inventory!$G$2:$G$25,$A14,Inventory!$I$2:$I$25,$B14,Inventory!$J$2:$J$25,$C14)</x:f>
        <x:v>1</x:v>
      </x:c>
      <x:c r="E14" s="193" t="n">
        <x:f>COUNTIFS(Inventory!$G$2:$G$25,$A14,Inventory!$I$2:$I$25,$B14,Inventory!$J$2:$J$25,$C14,Inventory!$O$2:$O$25,"Listed")</x:f>
        <x:v>1</x:v>
      </x:c>
      <x:c r="F14" s="193" t="n">
        <x:f>COUNTIFS(Inventory!$G$2:$G$25,$A14,Inventory!$I$2:$I$25,$B14,Inventory!$J$2:$J$25,$C14,Inventory!$O$2:$O$25,"Call for price")</x:f>
        <x:v>0</x:v>
      </x:c>
      <x:c r="G14" s="201" t="n">
        <x:f>IF(E14=0,"",SUMIFS(Inventory!$N$2:$N$25,Inventory!$G$2:$G$25,$A14,Inventory!$I$2:$I$25,$B14,Inventory!$J$2:$J$25,$C14,Inventory!$O$2:$O$25,"Listed")/E14)</x:f>
        <x:v>25795</x:v>
      </x:c>
      <x:c r="H14" s="201" t="n">
        <x:f>IF(E14=0,"",MINIFS(Inventory!$N$2:$N$25,Inventory!$G$2:$G$25,$A14,Inventory!$I$2:$I$25,$B14,Inventory!$J$2:$J$25,$C14,Inventory!$O$2:$O$25,"Listed"))</x:f>
        <x:v>25795</x:v>
      </x:c>
      <x:c r="I14" s="211" t="n">
        <x:f>IF(E14=0,"",MAXIFS(Inventory!$N$2:$N$25,Inventory!$G$2:$G$25,$A14,Inventory!$I$2:$I$25,$B14,Inventory!$J$2:$J$25,$C14,Inventory!$O$2:$O$25,"Listed"))</x:f>
        <x:v>25795</x:v>
      </x:c>
    </x:row>
    <x:row r="15">
      <x:c r="A15" s="48" t="str">
        <x:v>Used</x:v>
      </x:c>
      <x:c r="B15" s="49" t="str">
        <x:v>Mazda</x:v>
      </x:c>
      <x:c r="C15" s="49" t="str">
        <x:v>CX-50</x:v>
      </x:c>
      <x:c r="D15" s="193" t="n">
        <x:f>COUNTIFS(Inventory!$G$2:$G$25,$A15,Inventory!$I$2:$I$25,$B15,Inventory!$J$2:$J$25,$C15)</x:f>
        <x:v>1</x:v>
      </x:c>
      <x:c r="E15" s="193" t="n">
        <x:f>COUNTIFS(Inventory!$G$2:$G$25,$A15,Inventory!$I$2:$I$25,$B15,Inventory!$J$2:$J$25,$C15,Inventory!$O$2:$O$25,"Listed")</x:f>
        <x:v>1</x:v>
      </x:c>
      <x:c r="F15" s="193" t="n">
        <x:f>COUNTIFS(Inventory!$G$2:$G$25,$A15,Inventory!$I$2:$I$25,$B15,Inventory!$J$2:$J$25,$C15,Inventory!$O$2:$O$25,"Call for price")</x:f>
        <x:v>0</x:v>
      </x:c>
      <x:c r="G15" s="201" t="n">
        <x:f>IF(E15=0,"",SUMIFS(Inventory!$N$2:$N$25,Inventory!$G$2:$G$25,$A15,Inventory!$I$2:$I$25,$B15,Inventory!$J$2:$J$25,$C15,Inventory!$O$2:$O$25,"Listed")/E15)</x:f>
        <x:v>33295</x:v>
      </x:c>
      <x:c r="H15" s="201" t="n">
        <x:f>IF(E15=0,"",MINIFS(Inventory!$N$2:$N$25,Inventory!$G$2:$G$25,$A15,Inventory!$I$2:$I$25,$B15,Inventory!$J$2:$J$25,$C15,Inventory!$O$2:$O$25,"Listed"))</x:f>
        <x:v>33295</x:v>
      </x:c>
      <x:c r="I15" s="211" t="n">
        <x:f>IF(E15=0,"",MAXIFS(Inventory!$N$2:$N$25,Inventory!$G$2:$G$25,$A15,Inventory!$I$2:$I$25,$B15,Inventory!$J$2:$J$25,$C15,Inventory!$O$2:$O$25,"Listed"))</x:f>
        <x:v>33295</x:v>
      </x:c>
    </x:row>
    <x:row r="16">
      <x:c r="A16" s="48" t="str">
        <x:v>Used</x:v>
      </x:c>
      <x:c r="B16" s="49" t="str">
        <x:v>Mazda</x:v>
      </x:c>
      <x:c r="C16" s="49" t="str">
        <x:v>CX-90</x:v>
      </x:c>
      <x:c r="D16" s="193" t="n">
        <x:f>COUNTIFS(Inventory!$G$2:$G$25,$A16,Inventory!$I$2:$I$25,$B16,Inventory!$J$2:$J$25,$C16)</x:f>
        <x:v>1</x:v>
      </x:c>
      <x:c r="E16" s="193" t="n">
        <x:f>COUNTIFS(Inventory!$G$2:$G$25,$A16,Inventory!$I$2:$I$25,$B16,Inventory!$J$2:$J$25,$C16,Inventory!$O$2:$O$25,"Listed")</x:f>
        <x:v>1</x:v>
      </x:c>
      <x:c r="F16" s="193" t="n">
        <x:f>COUNTIFS(Inventory!$G$2:$G$25,$A16,Inventory!$I$2:$I$25,$B16,Inventory!$J$2:$J$25,$C16,Inventory!$O$2:$O$25,"Call for price")</x:f>
        <x:v>0</x:v>
      </x:c>
      <x:c r="G16" s="201" t="n">
        <x:f>IF(E16=0,"",SUMIFS(Inventory!$N$2:$N$25,Inventory!$G$2:$G$25,$A16,Inventory!$I$2:$I$25,$B16,Inventory!$J$2:$J$25,$C16,Inventory!$O$2:$O$25,"Listed")/E16)</x:f>
        <x:v>35995</x:v>
      </x:c>
      <x:c r="H16" s="201" t="n">
        <x:f>IF(E16=0,"",MINIFS(Inventory!$N$2:$N$25,Inventory!$G$2:$G$25,$A16,Inventory!$I$2:$I$25,$B16,Inventory!$J$2:$J$25,$C16,Inventory!$O$2:$O$25,"Listed"))</x:f>
        <x:v>35995</x:v>
      </x:c>
      <x:c r="I16" s="211" t="n">
        <x:f>IF(E16=0,"",MAXIFS(Inventory!$N$2:$N$25,Inventory!$G$2:$G$25,$A16,Inventory!$I$2:$I$25,$B16,Inventory!$J$2:$J$25,$C16,Inventory!$O$2:$O$25,"Listed"))</x:f>
        <x:v>35995</x:v>
      </x:c>
    </x:row>
    <x:row r="17">
      <x:c r="A17" s="48" t="str">
        <x:v>Used</x:v>
      </x:c>
      <x:c r="B17" s="49" t="str">
        <x:v>Subaru</x:v>
      </x:c>
      <x:c r="C17" s="49" t="str">
        <x:v>Ascent</x:v>
      </x:c>
      <x:c r="D17" s="193" t="n">
        <x:f>COUNTIFS(Inventory!$G$2:$G$25,$A17,Inventory!$I$2:$I$25,$B17,Inventory!$J$2:$J$25,$C17)</x:f>
        <x:v>1</x:v>
      </x:c>
      <x:c r="E17" s="193" t="n">
        <x:f>COUNTIFS(Inventory!$G$2:$G$25,$A17,Inventory!$I$2:$I$25,$B17,Inventory!$J$2:$J$25,$C17,Inventory!$O$2:$O$25,"Listed")</x:f>
        <x:v>1</x:v>
      </x:c>
      <x:c r="F17" s="193" t="n">
        <x:f>COUNTIFS(Inventory!$G$2:$G$25,$A17,Inventory!$I$2:$I$25,$B17,Inventory!$J$2:$J$25,$C17,Inventory!$O$2:$O$25,"Call for price")</x:f>
        <x:v>0</x:v>
      </x:c>
      <x:c r="G17" s="201" t="n">
        <x:f>IF(E17=0,"",SUMIFS(Inventory!$N$2:$N$25,Inventory!$G$2:$G$25,$A17,Inventory!$I$2:$I$25,$B17,Inventory!$J$2:$J$25,$C17,Inventory!$O$2:$O$25,"Listed")/E17)</x:f>
        <x:v>20295</x:v>
      </x:c>
      <x:c r="H17" s="201" t="n">
        <x:f>IF(E17=0,"",MINIFS(Inventory!$N$2:$N$25,Inventory!$G$2:$G$25,$A17,Inventory!$I$2:$I$25,$B17,Inventory!$J$2:$J$25,$C17,Inventory!$O$2:$O$25,"Listed"))</x:f>
        <x:v>20295</x:v>
      </x:c>
      <x:c r="I17" s="211" t="n">
        <x:f>IF(E17=0,"",MAXIFS(Inventory!$N$2:$N$25,Inventory!$G$2:$G$25,$A17,Inventory!$I$2:$I$25,$B17,Inventory!$J$2:$J$25,$C17,Inventory!$O$2:$O$25,"Listed"))</x:f>
        <x:v>20295</x:v>
      </x:c>
    </x:row>
    <x:row r="18">
      <x:c r="A18" s="48" t="str">
        <x:v>Used</x:v>
      </x:c>
      <x:c r="B18" s="49" t="str">
        <x:v>Subaru</x:v>
      </x:c>
      <x:c r="C18" s="49" t="str">
        <x:v>Forester Hybrid</x:v>
      </x:c>
      <x:c r="D18" s="193" t="n">
        <x:f>COUNTIFS(Inventory!$G$2:$G$25,$A18,Inventory!$I$2:$I$25,$B18,Inventory!$J$2:$J$25,$C18)</x:f>
        <x:v>1</x:v>
      </x:c>
      <x:c r="E18" s="193" t="n">
        <x:f>COUNTIFS(Inventory!$G$2:$G$25,$A18,Inventory!$I$2:$I$25,$B18,Inventory!$J$2:$J$25,$C18,Inventory!$O$2:$O$25,"Listed")</x:f>
        <x:v>1</x:v>
      </x:c>
      <x:c r="F18" s="193" t="n">
        <x:f>COUNTIFS(Inventory!$G$2:$G$25,$A18,Inventory!$I$2:$I$25,$B18,Inventory!$J$2:$J$25,$C18,Inventory!$O$2:$O$25,"Call for price")</x:f>
        <x:v>0</x:v>
      </x:c>
      <x:c r="G18" s="201" t="n">
        <x:f>IF(E18=0,"",SUMIFS(Inventory!$N$2:$N$25,Inventory!$G$2:$G$25,$A18,Inventory!$I$2:$I$25,$B18,Inventory!$J$2:$J$25,$C18,Inventory!$O$2:$O$25,"Listed")/E18)</x:f>
        <x:v>36995</x:v>
      </x:c>
      <x:c r="H18" s="201" t="n">
        <x:f>IF(E18=0,"",MINIFS(Inventory!$N$2:$N$25,Inventory!$G$2:$G$25,$A18,Inventory!$I$2:$I$25,$B18,Inventory!$J$2:$J$25,$C18,Inventory!$O$2:$O$25,"Listed"))</x:f>
        <x:v>36995</x:v>
      </x:c>
      <x:c r="I18" s="211" t="n">
        <x:f>IF(E18=0,"",MAXIFS(Inventory!$N$2:$N$25,Inventory!$G$2:$G$25,$A18,Inventory!$I$2:$I$25,$B18,Inventory!$J$2:$J$25,$C18,Inventory!$O$2:$O$25,"Listed"))</x:f>
        <x:v>36995</x:v>
      </x:c>
    </x:row>
    <x:row r="19">
      <x:c r="A19" s="48" t="str">
        <x:v>Used</x:v>
      </x:c>
      <x:c r="B19" s="49" t="str">
        <x:v>Subaru</x:v>
      </x:c>
      <x:c r="C19" s="49" t="str">
        <x:v>Impreza</x:v>
      </x:c>
      <x:c r="D19" s="193" t="n">
        <x:f>COUNTIFS(Inventory!$G$2:$G$25,$A19,Inventory!$I$2:$I$25,$B19,Inventory!$J$2:$J$25,$C19)</x:f>
        <x:v>1</x:v>
      </x:c>
      <x:c r="E19" s="193" t="n">
        <x:f>COUNTIFS(Inventory!$G$2:$G$25,$A19,Inventory!$I$2:$I$25,$B19,Inventory!$J$2:$J$25,$C19,Inventory!$O$2:$O$25,"Listed")</x:f>
        <x:v>1</x:v>
      </x:c>
      <x:c r="F19" s="193" t="n">
        <x:f>COUNTIFS(Inventory!$G$2:$G$25,$A19,Inventory!$I$2:$I$25,$B19,Inventory!$J$2:$J$25,$C19,Inventory!$O$2:$O$25,"Call for price")</x:f>
        <x:v>0</x:v>
      </x:c>
      <x:c r="G19" s="201" t="n">
        <x:f>IF(E19=0,"",SUMIFS(Inventory!$N$2:$N$25,Inventory!$G$2:$G$25,$A19,Inventory!$I$2:$I$25,$B19,Inventory!$J$2:$J$25,$C19,Inventory!$O$2:$O$25,"Listed")/E19)</x:f>
        <x:v>24795</x:v>
      </x:c>
      <x:c r="H19" s="201" t="n">
        <x:f>IF(E19=0,"",MINIFS(Inventory!$N$2:$N$25,Inventory!$G$2:$G$25,$A19,Inventory!$I$2:$I$25,$B19,Inventory!$J$2:$J$25,$C19,Inventory!$O$2:$O$25,"Listed"))</x:f>
        <x:v>24795</x:v>
      </x:c>
      <x:c r="I19" s="211" t="n">
        <x:f>IF(E19=0,"",MAXIFS(Inventory!$N$2:$N$25,Inventory!$G$2:$G$25,$A19,Inventory!$I$2:$I$25,$B19,Inventory!$J$2:$J$25,$C19,Inventory!$O$2:$O$25,"Listed"))</x:f>
        <x:v>24795</x:v>
      </x:c>
    </x:row>
    <x:row r="20">
      <x:c r="A20" s="48" t="str">
        <x:v>Used</x:v>
      </x:c>
      <x:c r="B20" s="49" t="str">
        <x:v>Subaru</x:v>
      </x:c>
      <x:c r="C20" s="49" t="str">
        <x:v>Legacy</x:v>
      </x:c>
      <x:c r="D20" s="193" t="n">
        <x:f>COUNTIFS(Inventory!$G$2:$G$25,$A20,Inventory!$I$2:$I$25,$B20,Inventory!$J$2:$J$25,$C20)</x:f>
        <x:v>1</x:v>
      </x:c>
      <x:c r="E20" s="193" t="n">
        <x:f>COUNTIFS(Inventory!$G$2:$G$25,$A20,Inventory!$I$2:$I$25,$B20,Inventory!$J$2:$J$25,$C20,Inventory!$O$2:$O$25,"Listed")</x:f>
        <x:v>1</x:v>
      </x:c>
      <x:c r="F20" s="193" t="n">
        <x:f>COUNTIFS(Inventory!$G$2:$G$25,$A20,Inventory!$I$2:$I$25,$B20,Inventory!$J$2:$J$25,$C20,Inventory!$O$2:$O$25,"Call for price")</x:f>
        <x:v>0</x:v>
      </x:c>
      <x:c r="G20" s="201" t="n">
        <x:f>IF(E20=0,"",SUMIFS(Inventory!$N$2:$N$25,Inventory!$G$2:$G$25,$A20,Inventory!$I$2:$I$25,$B20,Inventory!$J$2:$J$25,$C20,Inventory!$O$2:$O$25,"Listed")/E20)</x:f>
        <x:v>23395</x:v>
      </x:c>
      <x:c r="H20" s="201" t="n">
        <x:f>IF(E20=0,"",MINIFS(Inventory!$N$2:$N$25,Inventory!$G$2:$G$25,$A20,Inventory!$I$2:$I$25,$B20,Inventory!$J$2:$J$25,$C20,Inventory!$O$2:$O$25,"Listed"))</x:f>
        <x:v>23395</x:v>
      </x:c>
      <x:c r="I20" s="211" t="n">
        <x:f>IF(E20=0,"",MAXIFS(Inventory!$N$2:$N$25,Inventory!$G$2:$G$25,$A20,Inventory!$I$2:$I$25,$B20,Inventory!$J$2:$J$25,$C20,Inventory!$O$2:$O$25,"Listed"))</x:f>
        <x:v>23395</x:v>
      </x:c>
    </x:row>
    <x:row r="21">
      <x:c r="A21" s="50" t="str">
        <x:v>Used</x:v>
      </x:c>
      <x:c r="B21" s="51" t="str">
        <x:v>Subaru</x:v>
      </x:c>
      <x:c r="C21" s="51" t="str">
        <x:v>Outback</x:v>
      </x:c>
      <x:c r="D21" s="333" t="n">
        <x:f>COUNTIFS(Inventory!$G$2:$G$25,$A21,Inventory!$I$2:$I$25,$B21,Inventory!$J$2:$J$25,$C21)</x:f>
        <x:v>1</x:v>
      </x:c>
      <x:c r="E21" s="333" t="n">
        <x:f>COUNTIFS(Inventory!$G$2:$G$25,$A21,Inventory!$I$2:$I$25,$B21,Inventory!$J$2:$J$25,$C21,Inventory!$O$2:$O$25,"Listed")</x:f>
        <x:v>1</x:v>
      </x:c>
      <x:c r="F21" s="333" t="n">
        <x:f>COUNTIFS(Inventory!$G$2:$G$25,$A21,Inventory!$I$2:$I$25,$B21,Inventory!$J$2:$J$25,$C21,Inventory!$O$2:$O$25,"Call for price")</x:f>
        <x:v>0</x:v>
      </x:c>
      <x:c r="G21" s="335" t="n">
        <x:f>IF(E21=0,"",SUMIFS(Inventory!$N$2:$N$25,Inventory!$G$2:$G$25,$A21,Inventory!$I$2:$I$25,$B21,Inventory!$J$2:$J$25,$C21,Inventory!$O$2:$O$25,"Listed")/E21)</x:f>
        <x:v>28395</x:v>
      </x:c>
      <x:c r="H21" s="335" t="n">
        <x:f>IF(E21=0,"",MINIFS(Inventory!$N$2:$N$25,Inventory!$G$2:$G$25,$A21,Inventory!$I$2:$I$25,$B21,Inventory!$J$2:$J$25,$C21,Inventory!$O$2:$O$25,"Listed"))</x:f>
        <x:v>28395</x:v>
      </x:c>
      <x:c r="I21" s="212" t="n">
        <x:f>IF(E21=0,"",MAXIFS(Inventory!$N$2:$N$25,Inventory!$G$2:$G$25,$A21,Inventory!$I$2:$I$25,$B21,Inventory!$J$2:$J$25,$C21,Inventory!$O$2:$O$25,"Listed"))</x:f>
        <x:v>28395</x:v>
      </x:c>
    </x:row>
  </x:sheetData>
  <x:mergeCells>
    <x:mergeCell ref="A1:I2"/>
  </x:mergeCells>
  <x:pageMargins left="0.7" right="0.7" top="0.75" bottom="0.75" header="0.3" footer="0.3"/>
  <x:tableParts count="1">
    <x:tablePart xmlns:r="http://schemas.openxmlformats.org/officeDocument/2006/relationships" r:id="R58be4b822fb64422"/>
  </x:tableParts>
</x:worksheet>
</file>