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fa2ecadf564b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f27e44e809f4177"/>
    <x:sheet xmlns:r="http://schemas.openxmlformats.org/officeDocument/2006/relationships" name="Summary" sheetId="2" r:id="Rba2e002ab4ad4641"/>
    <x:sheet xmlns:r="http://schemas.openxmlformats.org/officeDocument/2006/relationships" name="Inventory" sheetId="3" r:id="R2bde75960d724e09"/>
    <x:sheet xmlns:r="http://schemas.openxmlformats.org/officeDocument/2006/relationships" name="Model Summary" sheetId="4" r:id="Rbdcf51e90aa34a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"/>
    <x:numFmt numFmtId="202" formatCode="#,##0"/>
    <x:numFmt numFmtId="203" formatCode="$#,##0"/>
  </x:numFmts>
  <x:fonts count="9">
    <x:font>
      <x:sz val="11"/>
      <x:name val="Carlito"/>
    </x:font>
    <x:font>
      <x:b/>
      <x:sz val="20"/>
      <x:color rgb="FFFFFFFF"/>
      <x:name val="Carlito"/>
    </x:font>
    <x:font>
      <x:b/>
      <x:sz val="11"/>
      <x:color rgb="FF123047"/>
      <x:name val="Carlito"/>
    </x:font>
    <x:font>
      <x:b/>
      <x:sz val="12"/>
      <x:color rgb="FFFFFFFF"/>
      <x:name val="Carlito"/>
    </x:font>
    <x:font>
      <x:b/>
      <x:sz val="10"/>
      <x:color rgb="FFFFFFFF"/>
      <x:name val="Carlito"/>
    </x:font>
    <x:font>
      <x:i/>
      <x:sz val="11"/>
      <x:color rgb="FF123047"/>
      <x:name val="Carlito"/>
    </x:font>
    <x:font>
      <x:sz val="11"/>
      <x:color rgb="FF123047"/>
      <x:name val="Carlito"/>
    </x:font>
    <x:font>
      <x:i/>
      <x:sz val="11"/>
      <x:color rgb="FF45545F"/>
      <x:name val="Carlito"/>
    </x:font>
    <x:font>
      <x:b/>
      <x:i/>
      <x:sz val="12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EAF4F8"/>
      </x:patternFill>
    </x:fill>
    <x:fill>
      <x:patternFill patternType="solid">
        <x:fgColor rgb="FF0A6C8B"/>
      </x:patternFill>
    </x:fill>
    <x:fill>
      <x:patternFill patternType="solid">
        <x:fgColor rgb="FFDCEFF5"/>
      </x:patternFill>
    </x:fill>
    <x:fill>
      <x:patternFill patternType="solid">
        <x:fgColor rgb="FFF5F8FA"/>
      </x:patternFill>
    </x:fill>
    <x:fill>
      <x:patternFill patternType="solid">
        <x:fgColor rgb="FFFFF3D6"/>
      </x:patternFill>
    </x:fill>
  </x:fills>
  <x:borders count="24">
    <x:border/>
    <x:border/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top/>
    </x:border>
    <x:border>
      <x:bottom/>
    </x:border>
    <x:border>
      <x:top/>
    </x:border>
    <x:border>
      <x:bottom/>
    </x:border>
    <x:border>
      <x:bottom/>
    </x:border>
    <x:border>
      <x:bottom/>
    </x:border>
    <x:border>
      <x:left/>
      <x:top/>
      <x:bottom/>
    </x:border>
    <x:border>
      <x:right/>
      <x:top/>
      <x:bottom/>
    </x:border>
    <x:border>
      <x:left/>
      <x:top/>
      <x:bottom/>
    </x:border>
    <x:border>
      <x:right/>
      <x:top/>
      <x:bottom/>
    </x:border>
  </x:borders>
  <x:cellStyleXfs count="1">
    <x:xf numFmtId="0" fontId="0" fillId="0" borderId="0"/>
  </x:cellStyleXfs>
  <x:cellXfs count="36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/>
    <x:xf numFmtId="0" fontId="2" fillId="3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/>
    <x:xf numFmtId="0" fontId="2" fillId="3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/>
    <x:xf numFmtId="0" fontId="2" fillId="3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/>
    <x:xf numFmtId="0" fontId="2" fillId="3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/>
    <x:xf numFmtId="0" fontId="2" fillId="3" borderId="12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/>
    <x:xf numFmtId="200" fontId="0" fillId="0" borderId="5" xfId="0" applyNumberFormat="1" applyFont="1" applyFill="1" applyBorder="1"/>
    <x:xf numFmtId="200" fontId="0" fillId="0" borderId="1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3" fillId="4" borderId="1" xfId="0" applyNumberFormat="1" applyFont="1" applyFill="1" applyBorder="1" applyAlignment="1">
      <x:alignment horizontal="left" vertical="center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14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15" xfId="0" applyNumberFormat="1" applyFont="1" applyFill="1" applyBorder="1"/>
    <x:xf numFmtId="0" fontId="0" fillId="0" borderId="8" xfId="0" applyNumberFormat="1" applyFont="1" applyFill="1" applyBorder="1"/>
    <x:xf numFmtId="0" fontId="0" fillId="0" borderId="16" xfId="0" applyNumberFormat="1" applyFont="1" applyFill="1" applyBorder="1"/>
    <x:xf numFmtId="0" fontId="0" fillId="0" borderId="10" xfId="0" applyNumberFormat="1" applyFont="1" applyFill="1" applyBorder="1"/>
    <x:xf numFmtId="0" fontId="0" fillId="0" borderId="12" xfId="0" applyNumberFormat="1" applyFont="1" applyFill="1" applyBorder="1"/>
    <x:xf numFmtId="0" fontId="0" fillId="0" borderId="17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2" xfId="0" applyNumberFormat="1" applyFont="1" applyFill="1" applyBorder="1"/>
    <x:xf numFmtId="0" fontId="5" fillId="5" borderId="14" xfId="0" applyNumberFormat="1" applyFont="1" applyFill="1" applyBorder="1"/>
    <x:xf numFmtId="0" fontId="5" fillId="5" borderId="3" xfId="0" applyNumberFormat="1" applyFont="1" applyFill="1" applyBorder="1"/>
    <x:xf numFmtId="0" fontId="5" fillId="5" borderId="4" xfId="0" applyNumberFormat="1" applyFont="1" applyFill="1" applyBorder="1"/>
    <x:xf numFmtId="0" fontId="5" fillId="5" borderId="5" xfId="0" applyNumberFormat="1" applyFont="1" applyFill="1" applyBorder="1"/>
    <x:xf numFmtId="0" fontId="5" fillId="5" borderId="6" xfId="0" applyNumberFormat="1" applyFont="1" applyFill="1" applyBorder="1"/>
    <x:xf numFmtId="0" fontId="5" fillId="5" borderId="15" xfId="0" applyNumberFormat="1" applyFont="1" applyFill="1" applyBorder="1"/>
    <x:xf numFmtId="0" fontId="5" fillId="5" borderId="7" xfId="0" applyNumberFormat="1" applyFont="1" applyFill="1" applyBorder="1"/>
    <x:xf numFmtId="0" fontId="5" fillId="5" borderId="2" xfId="0" applyNumberFormat="1" applyFont="1" applyFill="1" applyBorder="1" applyAlignment="1">
      <x:alignment wrapText="1"/>
    </x:xf>
    <x:xf numFmtId="0" fontId="5" fillId="5" borderId="14" xfId="0" applyNumberFormat="1" applyFont="1" applyFill="1" applyBorder="1" applyAlignment="1">
      <x:alignment wrapText="1"/>
    </x:xf>
    <x:xf numFmtId="0" fontId="5" fillId="5" borderId="3" xfId="0" applyNumberFormat="1" applyFont="1" applyFill="1" applyBorder="1" applyAlignment="1">
      <x:alignment wrapText="1"/>
    </x:xf>
    <x:xf numFmtId="0" fontId="5" fillId="5" borderId="4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5" fillId="5" borderId="5" xfId="0" applyNumberFormat="1" applyFont="1" applyFill="1" applyBorder="1" applyAlignment="1">
      <x:alignment wrapText="1"/>
    </x:xf>
    <x:xf numFmtId="0" fontId="5" fillId="5" borderId="6" xfId="0" applyNumberFormat="1" applyFont="1" applyFill="1" applyBorder="1" applyAlignment="1">
      <x:alignment wrapText="1"/>
    </x:xf>
    <x:xf numFmtId="0" fontId="5" fillId="5" borderId="15" xfId="0" applyNumberFormat="1" applyFont="1" applyFill="1" applyBorder="1" applyAlignment="1">
      <x:alignment wrapText="1"/>
    </x:xf>
    <x:xf numFmtId="0" fontId="5" fillId="5" borderId="7" xfId="0" applyNumberFormat="1" applyFont="1" applyFill="1" applyBorder="1" applyAlignment="1">
      <x:alignment wrapText="1"/>
    </x:xf>
    <x:xf numFmtId="0" fontId="5" fillId="5" borderId="2" xfId="0" applyNumberFormat="1" applyFont="1" applyFill="1" applyBorder="1" applyAlignment="1">
      <x:alignment vertical="center" wrapText="1"/>
    </x:xf>
    <x:xf numFmtId="0" fontId="5" fillId="5" borderId="14" xfId="0" applyNumberFormat="1" applyFont="1" applyFill="1" applyBorder="1" applyAlignment="1">
      <x:alignment vertical="center" wrapText="1"/>
    </x:xf>
    <x:xf numFmtId="0" fontId="5" fillId="5" borderId="3" xfId="0" applyNumberFormat="1" applyFont="1" applyFill="1" applyBorder="1" applyAlignment="1">
      <x:alignment vertical="center" wrapText="1"/>
    </x:xf>
    <x:xf numFmtId="0" fontId="5" fillId="5" borderId="4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5" fillId="5" borderId="5" xfId="0" applyNumberFormat="1" applyFont="1" applyFill="1" applyBorder="1" applyAlignment="1">
      <x:alignment vertical="center" wrapText="1"/>
    </x:xf>
    <x:xf numFmtId="0" fontId="5" fillId="5" borderId="6" xfId="0" applyNumberFormat="1" applyFont="1" applyFill="1" applyBorder="1" applyAlignment="1">
      <x:alignment vertical="center" wrapText="1"/>
    </x:xf>
    <x:xf numFmtId="0" fontId="5" fillId="5" borderId="15" xfId="0" applyNumberFormat="1" applyFont="1" applyFill="1" applyBorder="1" applyAlignment="1">
      <x:alignment vertical="center" wrapText="1"/>
    </x:xf>
    <x:xf numFmtId="0" fontId="5" fillId="5" borderId="7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8" xfId="0" applyNumberFormat="1" applyFont="1" applyFill="1" applyBorder="1"/>
    <x:xf numFmtId="0" fontId="5" fillId="5" borderId="16" xfId="0" applyNumberFormat="1" applyFont="1" applyFill="1" applyBorder="1"/>
    <x:xf numFmtId="0" fontId="5" fillId="5" borderId="9" xfId="0" applyNumberFormat="1" applyFont="1" applyFill="1" applyBorder="1"/>
    <x:xf numFmtId="0" fontId="5" fillId="5" borderId="10" xfId="0" applyNumberFormat="1" applyFont="1" applyFill="1" applyBorder="1"/>
    <x:xf numFmtId="0" fontId="5" fillId="5" borderId="11" xfId="0" applyNumberFormat="1" applyFont="1" applyFill="1" applyBorder="1"/>
    <x:xf numFmtId="0" fontId="5" fillId="5" borderId="12" xfId="0" applyNumberFormat="1" applyFont="1" applyFill="1" applyBorder="1"/>
    <x:xf numFmtId="0" fontId="5" fillId="5" borderId="17" xfId="0" applyNumberFormat="1" applyFont="1" applyFill="1" applyBorder="1"/>
    <x:xf numFmtId="0" fontId="5" fillId="5" borderId="13" xfId="0" applyNumberFormat="1" applyFont="1" applyFill="1" applyBorder="1"/>
    <x:xf numFmtId="0" fontId="5" fillId="5" borderId="8" xfId="0" applyNumberFormat="1" applyFont="1" applyFill="1" applyBorder="1" applyAlignment="1">
      <x:alignment wrapText="1"/>
    </x:xf>
    <x:xf numFmtId="0" fontId="5" fillId="5" borderId="16" xfId="0" applyNumberFormat="1" applyFont="1" applyFill="1" applyBorder="1" applyAlignment="1">
      <x:alignment wrapText="1"/>
    </x:xf>
    <x:xf numFmtId="0" fontId="5" fillId="5" borderId="9" xfId="0" applyNumberFormat="1" applyFont="1" applyFill="1" applyBorder="1" applyAlignment="1">
      <x:alignment wrapText="1"/>
    </x:xf>
    <x:xf numFmtId="0" fontId="5" fillId="5" borderId="10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wrapText="1"/>
    </x:xf>
    <x:xf numFmtId="0" fontId="5" fillId="5" borderId="11" xfId="0" applyNumberFormat="1" applyFont="1" applyFill="1" applyBorder="1" applyAlignment="1">
      <x:alignment wrapText="1"/>
    </x:xf>
    <x:xf numFmtId="0" fontId="5" fillId="5" borderId="12" xfId="0" applyNumberFormat="1" applyFont="1" applyFill="1" applyBorder="1" applyAlignment="1">
      <x:alignment wrapText="1"/>
    </x:xf>
    <x:xf numFmtId="0" fontId="5" fillId="5" borderId="17" xfId="0" applyNumberFormat="1" applyFont="1" applyFill="1" applyBorder="1" applyAlignment="1">
      <x:alignment wrapText="1"/>
    </x:xf>
    <x:xf numFmtId="0" fontId="5" fillId="5" borderId="13" xfId="0" applyNumberFormat="1" applyFont="1" applyFill="1" applyBorder="1" applyAlignment="1">
      <x:alignment wrapText="1"/>
    </x:xf>
    <x:xf numFmtId="0" fontId="5" fillId="5" borderId="8" xfId="0" applyNumberFormat="1" applyFont="1" applyFill="1" applyBorder="1" applyAlignment="1">
      <x:alignment vertical="center" wrapText="1"/>
    </x:xf>
    <x:xf numFmtId="0" fontId="5" fillId="5" borderId="16" xfId="0" applyNumberFormat="1" applyFont="1" applyFill="1" applyBorder="1" applyAlignment="1">
      <x:alignment vertical="center" wrapText="1"/>
    </x:xf>
    <x:xf numFmtId="0" fontId="5" fillId="5" borderId="9" xfId="0" applyNumberFormat="1" applyFont="1" applyFill="1" applyBorder="1" applyAlignment="1">
      <x:alignment vertical="center" wrapText="1"/>
    </x:xf>
    <x:xf numFmtId="0" fontId="5" fillId="5" borderId="10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5" fillId="5" borderId="11" xfId="0" applyNumberFormat="1" applyFont="1" applyFill="1" applyBorder="1" applyAlignment="1">
      <x:alignment vertical="center" wrapText="1"/>
    </x:xf>
    <x:xf numFmtId="0" fontId="5" fillId="5" borderId="12" xfId="0" applyNumberFormat="1" applyFont="1" applyFill="1" applyBorder="1" applyAlignment="1">
      <x:alignment vertical="center" wrapText="1"/>
    </x:xf>
    <x:xf numFmtId="0" fontId="5" fillId="5" borderId="17" xfId="0" applyNumberFormat="1" applyFont="1" applyFill="1" applyBorder="1" applyAlignment="1">
      <x:alignment vertical="center" wrapText="1"/>
    </x:xf>
    <x:xf numFmtId="0" fontId="5" fillId="5" borderId="13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200" fontId="0" fillId="0" borderId="0" xfId="0" applyNumberFormat="1" applyFont="1" applyFill="1" applyBorder="1"/>
    <x:xf numFmtId="200" fontId="0" fillId="0" borderId="18" xfId="0" applyNumberFormat="1" applyFont="1" applyFill="1" applyBorder="1"/>
    <x:xf numFmtId="200" fontId="0" fillId="0" borderId="1" xfId="0" applyNumberFormat="1" applyFont="1" applyFill="1" applyBorder="1"/>
    <x:xf numFmtId="200" fontId="0" fillId="0" borderId="19" xfId="0" applyNumberFormat="1" applyFont="1" applyFill="1" applyBorder="1"/>
    <x:xf numFmtId="201" fontId="0" fillId="0" borderId="0" xfId="0" applyNumberFormat="1" applyFont="1" applyFill="1" applyBorder="1"/>
    <x:xf numFmtId="201" fontId="0" fillId="0" borderId="18" xfId="0" applyNumberFormat="1" applyFont="1" applyFill="1" applyBorder="1"/>
    <x:xf numFmtId="201" fontId="0" fillId="0" borderId="1" xfId="0" applyNumberFormat="1" applyFont="1" applyFill="1" applyBorder="1"/>
    <x:xf numFmtId="201" fontId="0" fillId="0" borderId="19" xfId="0" applyNumberFormat="1" applyFont="1" applyFill="1" applyBorder="1"/>
    <x:xf numFmtId="202" fontId="0" fillId="0" borderId="0" xfId="0" applyNumberFormat="1" applyFont="1" applyFill="1" applyBorder="1"/>
    <x:xf numFmtId="202" fontId="0" fillId="0" borderId="18" xfId="0" applyNumberFormat="1" applyFont="1" applyFill="1" applyBorder="1"/>
    <x:xf numFmtId="202" fontId="0" fillId="0" borderId="1" xfId="0" applyNumberFormat="1" applyFont="1" applyFill="1" applyBorder="1"/>
    <x:xf numFmtId="202" fontId="0" fillId="0" borderId="19" xfId="0" applyNumberFormat="1" applyFont="1" applyFill="1" applyBorder="1"/>
    <x:xf numFmtId="203" fontId="0" fillId="0" borderId="0" xfId="0" applyNumberFormat="1" applyFont="1" applyFill="1" applyBorder="1"/>
    <x:xf numFmtId="203" fontId="0" fillId="0" borderId="18" xfId="0" applyNumberFormat="1" applyFont="1" applyFill="1" applyBorder="1"/>
    <x:xf numFmtId="203" fontId="0" fillId="0" borderId="1" xfId="0" applyNumberFormat="1" applyFont="1" applyFill="1" applyBorder="1"/>
    <x:xf numFmtId="203" fontId="0" fillId="0" borderId="19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0" fontId="0" fillId="0" borderId="18" xfId="0" applyNumberFormat="1" applyFont="1" applyFill="1" applyBorder="1" applyAlignment="1">
      <x:alignment vertical="center"/>
    </x:xf>
    <x:xf numFmtId="200" fontId="0" fillId="0" borderId="18" xfId="0" applyNumberFormat="1" applyFont="1" applyFill="1" applyBorder="1" applyAlignment="1">
      <x:alignment vertical="center"/>
    </x:xf>
    <x:xf numFmtId="201" fontId="0" fillId="0" borderId="18" xfId="0" applyNumberFormat="1" applyFont="1" applyFill="1" applyBorder="1" applyAlignment="1">
      <x:alignment vertical="center"/>
    </x:xf>
    <x:xf numFmtId="202" fontId="0" fillId="0" borderId="18" xfId="0" applyNumberFormat="1" applyFont="1" applyFill="1" applyBorder="1" applyAlignment="1">
      <x:alignment vertical="center"/>
    </x:xf>
    <x:xf numFmtId="203" fontId="0" fillId="0" borderId="18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203" fontId="0" fillId="0" borderId="1" xfId="0" applyNumberFormat="1" applyFont="1" applyFill="1" applyBorder="1" applyAlignment="1">
      <x:alignment vertical="center"/>
    </x:xf>
    <x:xf numFmtId="0" fontId="0" fillId="0" borderId="19" xfId="0" applyNumberFormat="1" applyFont="1" applyFill="1" applyBorder="1" applyAlignment="1">
      <x:alignment vertical="center"/>
    </x:xf>
    <x:xf numFmtId="200" fontId="0" fillId="0" borderId="19" xfId="0" applyNumberFormat="1" applyFont="1" applyFill="1" applyBorder="1" applyAlignment="1">
      <x:alignment vertical="center"/>
    </x:xf>
    <x:xf numFmtId="201" fontId="0" fillId="0" borderId="19" xfId="0" applyNumberFormat="1" applyFont="1" applyFill="1" applyBorder="1" applyAlignment="1">
      <x:alignment vertical="center"/>
    </x:xf>
    <x:xf numFmtId="202" fontId="0" fillId="0" borderId="19" xfId="0" applyNumberFormat="1" applyFont="1" applyFill="1" applyBorder="1" applyAlignment="1">
      <x:alignment vertical="center"/>
    </x:xf>
    <x:xf numFmtId="203" fontId="0" fillId="0" borderId="19" xfId="0" applyNumberFormat="1" applyFont="1" applyFill="1" applyBorder="1" applyAlignment="1">
      <x:alignment vertical="center"/>
    </x:xf>
    <x:xf numFmtId="200" fontId="0" fillId="0" borderId="7" xfId="0" applyNumberFormat="1" applyFont="1" applyFill="1" applyBorder="1"/>
    <x:xf numFmtId="200" fontId="0" fillId="0" borderId="13" xfId="0" applyNumberFormat="1" applyFont="1" applyFill="1" applyBorder="1"/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8" xfId="0" applyNumberFormat="1" applyFont="1" applyFill="1" applyBorder="1" applyAlignment="1">
      <x:alignment horizontal="center" vertical="center" wrapText="1"/>
    </x:xf>
    <x:xf numFmtId="0" fontId="4" fillId="2" borderId="9" xfId="0" applyNumberFormat="1" applyFont="1" applyFill="1" applyBorder="1" applyAlignment="1">
      <x:alignment horizontal="center" vertical="center" wrapText="1"/>
    </x:xf>
    <x:xf numFmtId="202" fontId="0" fillId="0" borderId="5" xfId="0" applyNumberFormat="1" applyFont="1" applyFill="1" applyBorder="1"/>
    <x:xf numFmtId="202" fontId="0" fillId="0" borderId="11" xfId="0" applyNumberFormat="1" applyFont="1" applyFill="1" applyBorder="1"/>
    <x:xf numFmtId="203" fontId="0" fillId="0" borderId="5" xfId="0" applyNumberFormat="1" applyFont="1" applyFill="1" applyBorder="1"/>
    <x:xf numFmtId="203" fontId="0" fillId="0" borderId="7" xfId="0" applyNumberFormat="1" applyFont="1" applyFill="1" applyBorder="1"/>
    <x:xf numFmtId="203" fontId="0" fillId="0" borderId="11" xfId="0" applyNumberFormat="1" applyFont="1" applyFill="1" applyBorder="1"/>
    <x:xf numFmtId="203" fontId="0" fillId="0" borderId="13" xfId="0" applyNumberFormat="1" applyFont="1" applyFill="1" applyBorder="1"/>
    <x:xf numFmtId="202" fontId="0" fillId="0" borderId="7" xfId="0" applyNumberFormat="1" applyFont="1" applyFill="1" applyBorder="1"/>
    <x:xf numFmtId="202" fontId="0" fillId="0" borderId="13" xfId="0" applyNumberFormat="1" applyFont="1" applyFill="1" applyBorder="1"/>
    <x:xf numFmtId="0" fontId="6" fillId="5" borderId="0" xfId="0" applyNumberFormat="1" applyFont="1" applyFill="1" applyBorder="1"/>
    <x:xf numFmtId="0" fontId="6" fillId="5" borderId="2" xfId="0" applyNumberFormat="1" applyFont="1" applyFill="1" applyBorder="1"/>
    <x:xf numFmtId="0" fontId="6" fillId="5" borderId="14" xfId="0" applyNumberFormat="1" applyFont="1" applyFill="1" applyBorder="1"/>
    <x:xf numFmtId="0" fontId="6" fillId="5" borderId="3" xfId="0" applyNumberFormat="1" applyFont="1" applyFill="1" applyBorder="1"/>
    <x:xf numFmtId="0" fontId="6" fillId="5" borderId="4" xfId="0" applyNumberFormat="1" applyFont="1" applyFill="1" applyBorder="1"/>
    <x:xf numFmtId="0" fontId="6" fillId="5" borderId="5" xfId="0" applyNumberFormat="1" applyFont="1" applyFill="1" applyBorder="1"/>
    <x:xf numFmtId="0" fontId="6" fillId="5" borderId="6" xfId="0" applyNumberFormat="1" applyFont="1" applyFill="1" applyBorder="1"/>
    <x:xf numFmtId="0" fontId="6" fillId="5" borderId="15" xfId="0" applyNumberFormat="1" applyFont="1" applyFill="1" applyBorder="1"/>
    <x:xf numFmtId="0" fontId="6" fillId="5" borderId="7" xfId="0" applyNumberFormat="1" applyFont="1" applyFill="1" applyBorder="1"/>
    <x:xf numFmtId="0" fontId="6" fillId="5" borderId="2" xfId="0" applyNumberFormat="1" applyFont="1" applyFill="1" applyBorder="1" applyAlignment="1">
      <x:alignment wrapText="1"/>
    </x:xf>
    <x:xf numFmtId="0" fontId="6" fillId="5" borderId="14" xfId="0" applyNumberFormat="1" applyFont="1" applyFill="1" applyBorder="1" applyAlignment="1">
      <x:alignment wrapText="1"/>
    </x:xf>
    <x:xf numFmtId="0" fontId="6" fillId="5" borderId="3" xfId="0" applyNumberFormat="1" applyFont="1" applyFill="1" applyBorder="1" applyAlignment="1">
      <x:alignment wrapText="1"/>
    </x:xf>
    <x:xf numFmtId="0" fontId="6" fillId="5" borderId="4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wrapText="1"/>
    </x:xf>
    <x:xf numFmtId="0" fontId="6" fillId="5" borderId="5" xfId="0" applyNumberFormat="1" applyFont="1" applyFill="1" applyBorder="1" applyAlignment="1">
      <x:alignment wrapText="1"/>
    </x:xf>
    <x:xf numFmtId="0" fontId="6" fillId="5" borderId="6" xfId="0" applyNumberFormat="1" applyFont="1" applyFill="1" applyBorder="1" applyAlignment="1">
      <x:alignment wrapText="1"/>
    </x:xf>
    <x:xf numFmtId="0" fontId="6" fillId="5" borderId="15" xfId="0" applyNumberFormat="1" applyFont="1" applyFill="1" applyBorder="1" applyAlignment="1">
      <x:alignment wrapText="1"/>
    </x:xf>
    <x:xf numFmtId="0" fontId="6" fillId="5" borderId="7" xfId="0" applyNumberFormat="1" applyFont="1" applyFill="1" applyBorder="1" applyAlignment="1">
      <x:alignment wrapText="1"/>
    </x:xf>
    <x:xf numFmtId="0" fontId="6" fillId="5" borderId="2" xfId="0" applyNumberFormat="1" applyFont="1" applyFill="1" applyBorder="1" applyAlignment="1">
      <x:alignment vertical="center" wrapText="1"/>
    </x:xf>
    <x:xf numFmtId="0" fontId="6" fillId="5" borderId="14" xfId="0" applyNumberFormat="1" applyFont="1" applyFill="1" applyBorder="1" applyAlignment="1">
      <x:alignment vertical="center" wrapText="1"/>
    </x:xf>
    <x:xf numFmtId="0" fontId="6" fillId="5" borderId="3" xfId="0" applyNumberFormat="1" applyFont="1" applyFill="1" applyBorder="1" applyAlignment="1">
      <x:alignment vertical="center" wrapText="1"/>
    </x:xf>
    <x:xf numFmtId="0" fontId="6" fillId="5" borderId="4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vertical="center" wrapText="1"/>
    </x:xf>
    <x:xf numFmtId="0" fontId="6" fillId="5" borderId="5" xfId="0" applyNumberFormat="1" applyFont="1" applyFill="1" applyBorder="1" applyAlignment="1">
      <x:alignment vertical="center" wrapText="1"/>
    </x:xf>
    <x:xf numFmtId="0" fontId="6" fillId="5" borderId="6" xfId="0" applyNumberFormat="1" applyFont="1" applyFill="1" applyBorder="1" applyAlignment="1">
      <x:alignment vertical="center" wrapText="1"/>
    </x:xf>
    <x:xf numFmtId="0" fontId="6" fillId="5" borderId="15" xfId="0" applyNumberFormat="1" applyFont="1" applyFill="1" applyBorder="1" applyAlignment="1">
      <x:alignment vertical="center" wrapText="1"/>
    </x:xf>
    <x:xf numFmtId="0" fontId="6" fillId="5" borderId="7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/>
    <x:xf numFmtId="0" fontId="6" fillId="5" borderId="8" xfId="0" applyNumberFormat="1" applyFont="1" applyFill="1" applyBorder="1"/>
    <x:xf numFmtId="0" fontId="6" fillId="5" borderId="16" xfId="0" applyNumberFormat="1" applyFont="1" applyFill="1" applyBorder="1"/>
    <x:xf numFmtId="0" fontId="6" fillId="5" borderId="9" xfId="0" applyNumberFormat="1" applyFont="1" applyFill="1" applyBorder="1"/>
    <x:xf numFmtId="0" fontId="6" fillId="5" borderId="10" xfId="0" applyNumberFormat="1" applyFont="1" applyFill="1" applyBorder="1"/>
    <x:xf numFmtId="0" fontId="6" fillId="5" borderId="11" xfId="0" applyNumberFormat="1" applyFont="1" applyFill="1" applyBorder="1"/>
    <x:xf numFmtId="0" fontId="6" fillId="5" borderId="12" xfId="0" applyNumberFormat="1" applyFont="1" applyFill="1" applyBorder="1"/>
    <x:xf numFmtId="0" fontId="6" fillId="5" borderId="17" xfId="0" applyNumberFormat="1" applyFont="1" applyFill="1" applyBorder="1"/>
    <x:xf numFmtId="0" fontId="6" fillId="5" borderId="13" xfId="0" applyNumberFormat="1" applyFont="1" applyFill="1" applyBorder="1"/>
    <x:xf numFmtId="0" fontId="6" fillId="5" borderId="8" xfId="0" applyNumberFormat="1" applyFont="1" applyFill="1" applyBorder="1" applyAlignment="1">
      <x:alignment wrapText="1"/>
    </x:xf>
    <x:xf numFmtId="0" fontId="6" fillId="5" borderId="16" xfId="0" applyNumberFormat="1" applyFont="1" applyFill="1" applyBorder="1" applyAlignment="1">
      <x:alignment wrapText="1"/>
    </x:xf>
    <x:xf numFmtId="0" fontId="6" fillId="5" borderId="9" xfId="0" applyNumberFormat="1" applyFont="1" applyFill="1" applyBorder="1" applyAlignment="1">
      <x:alignment wrapText="1"/>
    </x:xf>
    <x:xf numFmtId="0" fontId="6" fillId="5" borderId="10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wrapText="1"/>
    </x:xf>
    <x:xf numFmtId="0" fontId="6" fillId="5" borderId="11" xfId="0" applyNumberFormat="1" applyFont="1" applyFill="1" applyBorder="1" applyAlignment="1">
      <x:alignment wrapText="1"/>
    </x:xf>
    <x:xf numFmtId="0" fontId="6" fillId="5" borderId="12" xfId="0" applyNumberFormat="1" applyFont="1" applyFill="1" applyBorder="1" applyAlignment="1">
      <x:alignment wrapText="1"/>
    </x:xf>
    <x:xf numFmtId="0" fontId="6" fillId="5" borderId="17" xfId="0" applyNumberFormat="1" applyFont="1" applyFill="1" applyBorder="1" applyAlignment="1">
      <x:alignment wrapText="1"/>
    </x:xf>
    <x:xf numFmtId="0" fontId="6" fillId="5" borderId="13" xfId="0" applyNumberFormat="1" applyFont="1" applyFill="1" applyBorder="1" applyAlignment="1">
      <x:alignment wrapText="1"/>
    </x:xf>
    <x:xf numFmtId="0" fontId="6" fillId="5" borderId="8" xfId="0" applyNumberFormat="1" applyFont="1" applyFill="1" applyBorder="1" applyAlignment="1">
      <x:alignment vertical="center" wrapText="1"/>
    </x:xf>
    <x:xf numFmtId="0" fontId="6" fillId="5" borderId="16" xfId="0" applyNumberFormat="1" applyFont="1" applyFill="1" applyBorder="1" applyAlignment="1">
      <x:alignment vertical="center" wrapText="1"/>
    </x:xf>
    <x:xf numFmtId="0" fontId="6" fillId="5" borderId="9" xfId="0" applyNumberFormat="1" applyFont="1" applyFill="1" applyBorder="1" applyAlignment="1">
      <x:alignment vertical="center" wrapText="1"/>
    </x:xf>
    <x:xf numFmtId="0" fontId="6" fillId="5" borderId="10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6" fillId="5" borderId="11" xfId="0" applyNumberFormat="1" applyFont="1" applyFill="1" applyBorder="1" applyAlignment="1">
      <x:alignment vertical="center" wrapText="1"/>
    </x:xf>
    <x:xf numFmtId="0" fontId="6" fillId="5" borderId="12" xfId="0" applyNumberFormat="1" applyFont="1" applyFill="1" applyBorder="1" applyAlignment="1">
      <x:alignment vertical="center" wrapText="1"/>
    </x:xf>
    <x:xf numFmtId="0" fontId="6" fillId="5" borderId="17" xfId="0" applyNumberFormat="1" applyFont="1" applyFill="1" applyBorder="1" applyAlignment="1">
      <x:alignment vertical="center" wrapText="1"/>
    </x:xf>
    <x:xf numFmtId="0" fontId="6" fillId="5" borderId="13" xfId="0" applyNumberFormat="1" applyFont="1" applyFill="1" applyBorder="1" applyAlignment="1">
      <x:alignment vertical="center" wrapText="1"/>
    </x:xf>
    <x:xf numFmtId="0" fontId="4" fillId="2" borderId="14" xfId="0" applyNumberFormat="1" applyFont="1" applyFill="1" applyBorder="1" applyAlignment="1">
      <x:alignment horizontal="center" vertical="center" wrapText="1"/>
    </x:xf>
    <x:xf numFmtId="201" fontId="0" fillId="0" borderId="5" xfId="0" applyNumberFormat="1" applyFont="1" applyFill="1" applyBorder="1"/>
    <x:xf numFmtId="201" fontId="0" fillId="0" borderId="7" xfId="0" applyNumberFormat="1" applyFont="1" applyFill="1" applyBorder="1"/>
    <x:xf numFmtId="0" fontId="4" fillId="2" borderId="16" xfId="0" applyNumberFormat="1" applyFont="1" applyFill="1" applyBorder="1" applyAlignment="1">
      <x:alignment horizontal="center" vertical="center" wrapText="1"/>
    </x:xf>
    <x:xf numFmtId="201" fontId="0" fillId="0" borderId="11" xfId="0" applyNumberFormat="1" applyFont="1" applyFill="1" applyBorder="1"/>
    <x:xf numFmtId="201" fontId="0" fillId="0" borderId="13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2" xfId="0" applyNumberFormat="1" applyFont="1" applyFill="1" applyBorder="1"/>
    <x:xf numFmtId="0" fontId="7" fillId="6" borderId="14" xfId="0" applyNumberFormat="1" applyFont="1" applyFill="1" applyBorder="1"/>
    <x:xf numFmtId="0" fontId="7" fillId="6" borderId="3" xfId="0" applyNumberFormat="1" applyFont="1" applyFill="1" applyBorder="1"/>
    <x:xf numFmtId="0" fontId="7" fillId="6" borderId="4" xfId="0" applyNumberFormat="1" applyFont="1" applyFill="1" applyBorder="1"/>
    <x:xf numFmtId="0" fontId="7" fillId="6" borderId="5" xfId="0" applyNumberFormat="1" applyFont="1" applyFill="1" applyBorder="1"/>
    <x:xf numFmtId="0" fontId="7" fillId="6" borderId="6" xfId="0" applyNumberFormat="1" applyFont="1" applyFill="1" applyBorder="1"/>
    <x:xf numFmtId="0" fontId="7" fillId="6" borderId="15" xfId="0" applyNumberFormat="1" applyFont="1" applyFill="1" applyBorder="1"/>
    <x:xf numFmtId="0" fontId="7" fillId="6" borderId="7" xfId="0" applyNumberFormat="1" applyFont="1" applyFill="1" applyBorder="1"/>
    <x:xf numFmtId="0" fontId="7" fillId="6" borderId="2" xfId="0" applyNumberFormat="1" applyFont="1" applyFill="1" applyBorder="1" applyAlignment="1">
      <x:alignment wrapText="1"/>
    </x:xf>
    <x:xf numFmtId="0" fontId="7" fillId="6" borderId="14" xfId="0" applyNumberFormat="1" applyFont="1" applyFill="1" applyBorder="1" applyAlignment="1">
      <x:alignment wrapText="1"/>
    </x:xf>
    <x:xf numFmtId="0" fontId="7" fillId="6" borderId="3" xfId="0" applyNumberFormat="1" applyFont="1" applyFill="1" applyBorder="1" applyAlignment="1">
      <x:alignment wrapText="1"/>
    </x:xf>
    <x:xf numFmtId="0" fontId="7" fillId="6" borderId="4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wrapText="1"/>
    </x:xf>
    <x:xf numFmtId="0" fontId="7" fillId="6" borderId="5" xfId="0" applyNumberFormat="1" applyFont="1" applyFill="1" applyBorder="1" applyAlignment="1">
      <x:alignment wrapText="1"/>
    </x:xf>
    <x:xf numFmtId="0" fontId="7" fillId="6" borderId="6" xfId="0" applyNumberFormat="1" applyFont="1" applyFill="1" applyBorder="1" applyAlignment="1">
      <x:alignment wrapText="1"/>
    </x:xf>
    <x:xf numFmtId="0" fontId="7" fillId="6" borderId="15" xfId="0" applyNumberFormat="1" applyFont="1" applyFill="1" applyBorder="1" applyAlignment="1">
      <x:alignment wrapText="1"/>
    </x:xf>
    <x:xf numFmtId="0" fontId="7" fillId="6" borderId="7" xfId="0" applyNumberFormat="1" applyFont="1" applyFill="1" applyBorder="1" applyAlignment="1">
      <x:alignment wrapText="1"/>
    </x:xf>
    <x:xf numFmtId="0" fontId="7" fillId="6" borderId="2" xfId="0" applyNumberFormat="1" applyFont="1" applyFill="1" applyBorder="1" applyAlignment="1">
      <x:alignment vertical="center" wrapText="1"/>
    </x:xf>
    <x:xf numFmtId="0" fontId="7" fillId="6" borderId="14" xfId="0" applyNumberFormat="1" applyFont="1" applyFill="1" applyBorder="1" applyAlignment="1">
      <x:alignment vertical="center" wrapText="1"/>
    </x:xf>
    <x:xf numFmtId="0" fontId="7" fillId="6" borderId="3" xfId="0" applyNumberFormat="1" applyFont="1" applyFill="1" applyBorder="1" applyAlignment="1">
      <x:alignment vertical="center" wrapText="1"/>
    </x:xf>
    <x:xf numFmtId="0" fontId="7" fillId="6" borderId="4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 applyAlignment="1">
      <x:alignment vertical="center" wrapText="1"/>
    </x:xf>
    <x:xf numFmtId="0" fontId="7" fillId="6" borderId="5" xfId="0" applyNumberFormat="1" applyFont="1" applyFill="1" applyBorder="1" applyAlignment="1">
      <x:alignment vertical="center" wrapText="1"/>
    </x:xf>
    <x:xf numFmtId="0" fontId="7" fillId="6" borderId="6" xfId="0" applyNumberFormat="1" applyFont="1" applyFill="1" applyBorder="1" applyAlignment="1">
      <x:alignment vertical="center" wrapText="1"/>
    </x:xf>
    <x:xf numFmtId="0" fontId="7" fillId="6" borderId="15" xfId="0" applyNumberFormat="1" applyFont="1" applyFill="1" applyBorder="1" applyAlignment="1">
      <x:alignment vertical="center" wrapText="1"/>
    </x:xf>
    <x:xf numFmtId="0" fontId="7" fillId="6" borderId="7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7" fillId="6" borderId="1" xfId="0" applyNumberFormat="1" applyFont="1" applyFill="1" applyBorder="1"/>
    <x:xf numFmtId="0" fontId="7" fillId="6" borderId="8" xfId="0" applyNumberFormat="1" applyFont="1" applyFill="1" applyBorder="1"/>
    <x:xf numFmtId="0" fontId="7" fillId="6" borderId="16" xfId="0" applyNumberFormat="1" applyFont="1" applyFill="1" applyBorder="1"/>
    <x:xf numFmtId="0" fontId="7" fillId="6" borderId="9" xfId="0" applyNumberFormat="1" applyFont="1" applyFill="1" applyBorder="1"/>
    <x:xf numFmtId="0" fontId="7" fillId="6" borderId="10" xfId="0" applyNumberFormat="1" applyFont="1" applyFill="1" applyBorder="1"/>
    <x:xf numFmtId="0" fontId="7" fillId="6" borderId="11" xfId="0" applyNumberFormat="1" applyFont="1" applyFill="1" applyBorder="1"/>
    <x:xf numFmtId="0" fontId="7" fillId="6" borderId="12" xfId="0" applyNumberFormat="1" applyFont="1" applyFill="1" applyBorder="1"/>
    <x:xf numFmtId="0" fontId="7" fillId="6" borderId="17" xfId="0" applyNumberFormat="1" applyFont="1" applyFill="1" applyBorder="1"/>
    <x:xf numFmtId="0" fontId="7" fillId="6" borderId="13" xfId="0" applyNumberFormat="1" applyFont="1" applyFill="1" applyBorder="1"/>
    <x:xf numFmtId="0" fontId="7" fillId="6" borderId="8" xfId="0" applyNumberFormat="1" applyFont="1" applyFill="1" applyBorder="1" applyAlignment="1">
      <x:alignment wrapText="1"/>
    </x:xf>
    <x:xf numFmtId="0" fontId="7" fillId="6" borderId="16" xfId="0" applyNumberFormat="1" applyFont="1" applyFill="1" applyBorder="1" applyAlignment="1">
      <x:alignment wrapText="1"/>
    </x:xf>
    <x:xf numFmtId="0" fontId="7" fillId="6" borderId="9" xfId="0" applyNumberFormat="1" applyFont="1" applyFill="1" applyBorder="1" applyAlignment="1">
      <x:alignment wrapText="1"/>
    </x:xf>
    <x:xf numFmtId="0" fontId="7" fillId="6" borderId="10" xfId="0" applyNumberFormat="1" applyFont="1" applyFill="1" applyBorder="1" applyAlignment="1">
      <x:alignment wrapText="1"/>
    </x:xf>
    <x:xf numFmtId="0" fontId="7" fillId="6" borderId="1" xfId="0" applyNumberFormat="1" applyFont="1" applyFill="1" applyBorder="1" applyAlignment="1">
      <x:alignment wrapText="1"/>
    </x:xf>
    <x:xf numFmtId="0" fontId="7" fillId="6" borderId="11" xfId="0" applyNumberFormat="1" applyFont="1" applyFill="1" applyBorder="1" applyAlignment="1">
      <x:alignment wrapText="1"/>
    </x:xf>
    <x:xf numFmtId="0" fontId="7" fillId="6" borderId="12" xfId="0" applyNumberFormat="1" applyFont="1" applyFill="1" applyBorder="1" applyAlignment="1">
      <x:alignment wrapText="1"/>
    </x:xf>
    <x:xf numFmtId="0" fontId="7" fillId="6" borderId="17" xfId="0" applyNumberFormat="1" applyFont="1" applyFill="1" applyBorder="1" applyAlignment="1">
      <x:alignment wrapText="1"/>
    </x:xf>
    <x:xf numFmtId="0" fontId="7" fillId="6" borderId="13" xfId="0" applyNumberFormat="1" applyFont="1" applyFill="1" applyBorder="1" applyAlignment="1">
      <x:alignment wrapText="1"/>
    </x:xf>
    <x:xf numFmtId="0" fontId="7" fillId="6" borderId="8" xfId="0" applyNumberFormat="1" applyFont="1" applyFill="1" applyBorder="1" applyAlignment="1">
      <x:alignment vertical="center" wrapText="1"/>
    </x:xf>
    <x:xf numFmtId="0" fontId="7" fillId="6" borderId="16" xfId="0" applyNumberFormat="1" applyFont="1" applyFill="1" applyBorder="1" applyAlignment="1">
      <x:alignment vertical="center" wrapText="1"/>
    </x:xf>
    <x:xf numFmtId="0" fontId="7" fillId="6" borderId="9" xfId="0" applyNumberFormat="1" applyFont="1" applyFill="1" applyBorder="1" applyAlignment="1">
      <x:alignment vertical="center" wrapText="1"/>
    </x:xf>
    <x:xf numFmtId="0" fontId="7" fillId="6" borderId="10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vertical="center" wrapText="1"/>
    </x:xf>
    <x:xf numFmtId="0" fontId="7" fillId="6" borderId="11" xfId="0" applyNumberFormat="1" applyFont="1" applyFill="1" applyBorder="1" applyAlignment="1">
      <x:alignment vertical="center" wrapText="1"/>
    </x:xf>
    <x:xf numFmtId="0" fontId="7" fillId="6" borderId="12" xfId="0" applyNumberFormat="1" applyFont="1" applyFill="1" applyBorder="1" applyAlignment="1">
      <x:alignment vertical="center" wrapText="1"/>
    </x:xf>
    <x:xf numFmtId="0" fontId="7" fillId="6" borderId="17" xfId="0" applyNumberFormat="1" applyFont="1" applyFill="1" applyBorder="1" applyAlignment="1">
      <x:alignment vertical="center" wrapText="1"/>
    </x:xf>
    <x:xf numFmtId="0" fontId="7" fillId="6" borderId="13" xfId="0" applyNumberFormat="1" applyFont="1" applyFill="1" applyBorder="1" applyAlignment="1">
      <x:alignment vertical="center" wrapText="1"/>
    </x:xf>
    <x:xf numFmtId="201" fontId="0" fillId="0" borderId="15" xfId="0" applyNumberFormat="1" applyFont="1" applyFill="1" applyBorder="1"/>
    <x:xf numFmtId="201" fontId="0" fillId="0" borderId="17" xfId="0" applyNumberFormat="1" applyFont="1" applyFill="1" applyBorder="1"/>
    <x:xf numFmtId="203" fontId="0" fillId="0" borderId="15" xfId="0" applyNumberFormat="1" applyFont="1" applyFill="1" applyBorder="1"/>
    <x:xf numFmtId="203" fontId="0" fillId="0" borderId="17" xfId="0" applyNumberFormat="1" applyFont="1" applyFill="1" applyBorder="1"/>
    <x:xf numFmtId="0" fontId="2" fillId="3" borderId="20" xfId="0" applyNumberFormat="1" applyFont="1" applyFill="1" applyBorder="1" applyAlignment="1">
      <x:alignment vertical="center"/>
    </x:xf>
    <x:xf numFmtId="0" fontId="0" fillId="0" borderId="21" xfId="0" applyNumberFormat="1" applyFont="1" applyFill="1" applyBorder="1"/>
    <x:xf numFmtId="0" fontId="2" fillId="3" borderId="22" xfId="0" applyNumberFormat="1" applyFont="1" applyFill="1" applyBorder="1" applyAlignment="1">
      <x:alignment vertical="center"/>
    </x:xf>
    <x:xf numFmtId="0" fontId="0" fillId="0" borderId="23" xfId="0" applyNumberFormat="1" applyFont="1" applyFill="1" applyBorder="1"/>
    <x:xf numFmtId="0" fontId="0" fillId="0" borderId="21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5" fillId="4" borderId="2" xfId="0" applyNumberFormat="1" applyFont="1" applyFill="1" applyBorder="1" applyAlignment="1">
      <x:alignment vertical="center" wrapText="1"/>
    </x:xf>
    <x:xf numFmtId="0" fontId="5" fillId="4" borderId="14" xfId="0" applyNumberFormat="1" applyFont="1" applyFill="1" applyBorder="1" applyAlignment="1">
      <x:alignment vertical="center" wrapText="1"/>
    </x:xf>
    <x:xf numFmtId="0" fontId="5" fillId="4" borderId="3" xfId="0" applyNumberFormat="1" applyFont="1" applyFill="1" applyBorder="1" applyAlignment="1">
      <x:alignment vertical="center" wrapText="1"/>
    </x:xf>
    <x:xf numFmtId="0" fontId="8" fillId="4" borderId="2" xfId="0" applyNumberFormat="1" applyFont="1" applyFill="1" applyBorder="1" applyAlignment="1">
      <x:alignment vertical="center" wrapText="1"/>
    </x:xf>
    <x:xf numFmtId="0" fontId="8" fillId="4" borderId="14" xfId="0" applyNumberFormat="1" applyFont="1" applyFill="1" applyBorder="1" applyAlignment="1">
      <x:alignment vertical="center" wrapText="1"/>
    </x:xf>
    <x:xf numFmtId="0" fontId="8" fillId="4" borderId="3" xfId="0" applyNumberFormat="1" applyFont="1" applyFill="1" applyBorder="1" applyAlignment="1">
      <x:alignment vertical="center" wrapText="1"/>
    </x:xf>
    <x:xf numFmtId="0" fontId="8" fillId="4" borderId="2" xfId="0" applyNumberFormat="1" applyFont="1" applyFill="1" applyBorder="1" applyAlignment="1">
      <x:alignment horizontal="left" vertical="center" wrapText="1"/>
    </x:xf>
    <x:xf numFmtId="0" fontId="8" fillId="4" borderId="14" xfId="0" applyNumberFormat="1" applyFont="1" applyFill="1" applyBorder="1" applyAlignment="1">
      <x:alignment horizontal="left" vertical="center" wrapText="1"/>
    </x:xf>
    <x:xf numFmtId="0" fontId="8" fillId="4" borderId="3" xfId="0" applyNumberFormat="1" applyFont="1" applyFill="1" applyBorder="1" applyAlignment="1">
      <x:alignment horizontal="left" vertical="center" wrapText="1"/>
    </x:xf>
    <x:xf numFmtId="0" fontId="5" fillId="4" borderId="8" xfId="0" applyNumberFormat="1" applyFont="1" applyFill="1" applyBorder="1" applyAlignment="1">
      <x:alignment vertical="center" wrapText="1"/>
    </x:xf>
    <x:xf numFmtId="0" fontId="5" fillId="4" borderId="16" xfId="0" applyNumberFormat="1" applyFont="1" applyFill="1" applyBorder="1" applyAlignment="1">
      <x:alignment vertical="center" wrapText="1"/>
    </x:xf>
    <x:xf numFmtId="0" fontId="5" fillId="4" borderId="9" xfId="0" applyNumberFormat="1" applyFont="1" applyFill="1" applyBorder="1" applyAlignment="1">
      <x:alignment vertical="center" wrapText="1"/>
    </x:xf>
    <x:xf numFmtId="0" fontId="8" fillId="4" borderId="8" xfId="0" applyNumberFormat="1" applyFont="1" applyFill="1" applyBorder="1" applyAlignment="1">
      <x:alignment vertical="center" wrapText="1"/>
    </x:xf>
    <x:xf numFmtId="0" fontId="8" fillId="4" borderId="16" xfId="0" applyNumberFormat="1" applyFont="1" applyFill="1" applyBorder="1" applyAlignment="1">
      <x:alignment vertical="center" wrapText="1"/>
    </x:xf>
    <x:xf numFmtId="0" fontId="8" fillId="4" borderId="9" xfId="0" applyNumberFormat="1" applyFont="1" applyFill="1" applyBorder="1" applyAlignment="1">
      <x:alignment vertical="center" wrapText="1"/>
    </x:xf>
    <x:xf numFmtId="0" fontId="8" fillId="4" borderId="8" xfId="0" applyNumberFormat="1" applyFont="1" applyFill="1" applyBorder="1" applyAlignment="1">
      <x:alignment horizontal="left" vertical="center" wrapText="1"/>
    </x:xf>
    <x:xf numFmtId="0" fontId="8" fillId="4" borderId="16" xfId="0" applyNumberFormat="1" applyFont="1" applyFill="1" applyBorder="1" applyAlignment="1">
      <x:alignment horizontal="left" vertical="center" wrapText="1"/>
    </x:xf>
    <x:xf numFmtId="0" fontId="8" fillId="4" borderId="9" xfId="0" applyNumberFormat="1" applyFont="1" applyFill="1" applyBorder="1" applyAlignment="1">
      <x:alignment horizontal="left" vertical="center" wrapText="1"/>
    </x:xf>
    <x:xf numFmtId="0" fontId="5" fillId="7" borderId="4" xfId="0" applyNumberFormat="1" applyFont="1" applyFill="1" applyBorder="1" applyAlignment="1">
      <x:alignment vertical="center" wrapText="1"/>
    </x:xf>
    <x:xf numFmtId="0" fontId="5" fillId="7" borderId="0" xfId="0" applyNumberFormat="1" applyFont="1" applyFill="1" applyBorder="1" applyAlignment="1">
      <x:alignment vertical="center" wrapText="1"/>
    </x:xf>
    <x:xf numFmtId="0" fontId="5" fillId="7" borderId="5" xfId="0" applyNumberFormat="1" applyFont="1" applyFill="1" applyBorder="1" applyAlignment="1">
      <x:alignment vertical="center" wrapText="1"/>
    </x:xf>
    <x:xf numFmtId="0" fontId="5" fillId="7" borderId="6" xfId="0" applyNumberFormat="1" applyFont="1" applyFill="1" applyBorder="1" applyAlignment="1">
      <x:alignment vertical="center" wrapText="1"/>
    </x:xf>
    <x:xf numFmtId="0" fontId="5" fillId="7" borderId="15" xfId="0" applyNumberFormat="1" applyFont="1" applyFill="1" applyBorder="1" applyAlignment="1">
      <x:alignment vertical="center" wrapText="1"/>
    </x:xf>
    <x:xf numFmtId="0" fontId="5" fillId="7" borderId="7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2" xfId="0" applyNumberFormat="1" applyFont="1" applyFill="1" applyBorder="1" applyAlignment="1">
      <x:alignment vertical="center" wrapText="1"/>
    </x:xf>
    <x:xf numFmtId="0" fontId="5" fillId="7" borderId="14" xfId="0" applyNumberFormat="1" applyFont="1" applyFill="1" applyBorder="1" applyAlignment="1">
      <x:alignment vertical="center" wrapText="1"/>
    </x:xf>
    <x:xf numFmtId="0" fontId="5" fillId="7" borderId="3" xfId="0" applyNumberFormat="1" applyFont="1" applyFill="1" applyBorder="1" applyAlignment="1">
      <x:alignment vertical="center" wrapText="1"/>
    </x:xf>
    <x:xf numFmtId="0" fontId="5" fillId="7" borderId="6" xfId="0" applyNumberFormat="1" applyFont="1" applyFill="1" applyBorder="1"/>
    <x:xf numFmtId="0" fontId="5" fillId="7" borderId="15" xfId="0" applyNumberFormat="1" applyFont="1" applyFill="1" applyBorder="1"/>
    <x:xf numFmtId="0" fontId="5" fillId="7" borderId="7" xfId="0" applyNumberFormat="1" applyFont="1" applyFill="1" applyBorder="1"/>
    <x:xf numFmtId="0" fontId="5" fillId="7" borderId="6" xfId="0" applyNumberFormat="1" applyFont="1" applyFill="1" applyBorder="1" applyAlignment="1">
      <x:alignment wrapText="1"/>
    </x:xf>
    <x:xf numFmtId="0" fontId="5" fillId="7" borderId="15" xfId="0" applyNumberFormat="1" applyFont="1" applyFill="1" applyBorder="1" applyAlignment="1">
      <x:alignment wrapText="1"/>
    </x:xf>
    <x:xf numFmtId="0" fontId="5" fillId="7" borderId="7" xfId="0" applyNumberFormat="1" applyFont="1" applyFill="1" applyBorder="1" applyAlignment="1">
      <x:alignment wrapText="1"/>
    </x:xf>
    <x:xf numFmtId="0" fontId="5" fillId="7" borderId="10" xfId="0" applyNumberFormat="1" applyFont="1" applyFill="1" applyBorder="1" applyAlignment="1">
      <x:alignment vertical="center" wrapText="1"/>
    </x:xf>
    <x:xf numFmtId="0" fontId="5" fillId="7" borderId="1" xfId="0" applyNumberFormat="1" applyFont="1" applyFill="1" applyBorder="1" applyAlignment="1">
      <x:alignment vertical="center" wrapText="1"/>
    </x:xf>
    <x:xf numFmtId="0" fontId="5" fillId="7" borderId="11" xfId="0" applyNumberFormat="1" applyFont="1" applyFill="1" applyBorder="1" applyAlignment="1">
      <x:alignment vertical="center" wrapText="1"/>
    </x:xf>
    <x:xf numFmtId="0" fontId="5" fillId="7" borderId="12" xfId="0" applyNumberFormat="1" applyFont="1" applyFill="1" applyBorder="1" applyAlignment="1">
      <x:alignment vertical="center" wrapText="1"/>
    </x:xf>
    <x:xf numFmtId="0" fontId="5" fillId="7" borderId="17" xfId="0" applyNumberFormat="1" applyFont="1" applyFill="1" applyBorder="1" applyAlignment="1">
      <x:alignment vertical="center" wrapText="1"/>
    </x:xf>
    <x:xf numFmtId="0" fontId="5" fillId="7" borderId="13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5" fillId="7" borderId="8" xfId="0" applyNumberFormat="1" applyFont="1" applyFill="1" applyBorder="1" applyAlignment="1">
      <x:alignment vertical="center" wrapText="1"/>
    </x:xf>
    <x:xf numFmtId="0" fontId="5" fillId="7" borderId="16" xfId="0" applyNumberFormat="1" applyFont="1" applyFill="1" applyBorder="1" applyAlignment="1">
      <x:alignment vertical="center" wrapText="1"/>
    </x:xf>
    <x:xf numFmtId="0" fontId="5" fillId="7" borderId="9" xfId="0" applyNumberFormat="1" applyFont="1" applyFill="1" applyBorder="1" applyAlignment="1">
      <x:alignment vertical="center" wrapText="1"/>
    </x:xf>
    <x:xf numFmtId="0" fontId="5" fillId="7" borderId="12" xfId="0" applyNumberFormat="1" applyFont="1" applyFill="1" applyBorder="1"/>
    <x:xf numFmtId="0" fontId="5" fillId="7" borderId="17" xfId="0" applyNumberFormat="1" applyFont="1" applyFill="1" applyBorder="1"/>
    <x:xf numFmtId="0" fontId="5" fillId="7" borderId="13" xfId="0" applyNumberFormat="1" applyFont="1" applyFill="1" applyBorder="1"/>
    <x:xf numFmtId="0" fontId="5" fillId="7" borderId="12" xfId="0" applyNumberFormat="1" applyFont="1" applyFill="1" applyBorder="1" applyAlignment="1">
      <x:alignment wrapText="1"/>
    </x:xf>
    <x:xf numFmtId="0" fontId="5" fillId="7" borderId="17" xfId="0" applyNumberFormat="1" applyFont="1" applyFill="1" applyBorder="1" applyAlignment="1">
      <x:alignment wrapText="1"/>
    </x:xf>
    <x:xf numFmtId="0" fontId="5" fillId="7" borderId="13" xfId="0" applyNumberFormat="1" applyFont="1" applyFill="1" applyBorder="1" applyAlignment="1">
      <x:alignment wrapText="1"/>
    </x:xf>
    <x:xf numFmtId="0" fontId="5" fillId="7" borderId="2" xfId="0" applyNumberFormat="1" applyFont="1" applyFill="1" applyBorder="1" applyAlignment="1">
      <x:alignment horizontal="left" vertical="center" wrapText="1"/>
    </x:xf>
    <x:xf numFmtId="0" fontId="5" fillId="7" borderId="14" xfId="0" applyNumberFormat="1" applyFont="1" applyFill="1" applyBorder="1" applyAlignment="1">
      <x:alignment horizontal="left" vertical="center" wrapText="1"/>
    </x:xf>
    <x:xf numFmtId="0" fontId="5" fillId="7" borderId="3" xfId="0" applyNumberFormat="1" applyFont="1" applyFill="1" applyBorder="1" applyAlignment="1">
      <x:alignment horizontal="left" vertical="center" wrapText="1"/>
    </x:xf>
    <x:xf numFmtId="0" fontId="5" fillId="7" borderId="4" xfId="0" applyNumberFormat="1" applyFont="1" applyFill="1" applyBorder="1" applyAlignment="1">
      <x:alignment horizontal="left" vertical="center" wrapText="1"/>
    </x:xf>
    <x:xf numFmtId="0" fontId="5" fillId="7" borderId="0" xfId="0" applyNumberFormat="1" applyFont="1" applyFill="1" applyBorder="1" applyAlignment="1">
      <x:alignment horizontal="left" vertical="center" wrapText="1"/>
    </x:xf>
    <x:xf numFmtId="0" fontId="5" fillId="7" borderId="5" xfId="0" applyNumberFormat="1" applyFont="1" applyFill="1" applyBorder="1" applyAlignment="1">
      <x:alignment horizontal="left" vertical="center" wrapText="1"/>
    </x:xf>
    <x:xf numFmtId="0" fontId="5" fillId="7" borderId="6" xfId="0" applyNumberFormat="1" applyFont="1" applyFill="1" applyBorder="1" applyAlignment="1">
      <x:alignment horizontal="left" vertical="center" wrapText="1"/>
    </x:xf>
    <x:xf numFmtId="0" fontId="5" fillId="7" borderId="15" xfId="0" applyNumberFormat="1" applyFont="1" applyFill="1" applyBorder="1" applyAlignment="1">
      <x:alignment horizontal="left" vertical="center" wrapText="1"/>
    </x:xf>
    <x:xf numFmtId="0" fontId="5" fillId="7" borderId="7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3">
    <x:dxf>
      <x:font>
        <x:b/>
        <x:color rgb="FFB7791F"/>
      </x:font>
      <x:fill>
        <x:patternFill patternType="solid">
          <x:bgColor rgb="FFFFF3D6"/>
        </x:patternFill>
      </x:fill>
    </x:dxf>
    <x:dxf>
      <x:font>
        <x:b/>
        <x:color rgb="FF07556E"/>
      </x:font>
      <x:fill>
        <x:patternFill patternType="solid">
          <x:bgColor rgb="FFEAF4F8"/>
        </x:patternFill>
      </x:fill>
    </x:dxf>
    <x:dxf>
      <x:font>
        <x:b/>
        <x:color rgb="FFB7791F"/>
      </x:font>
      <x:fill>
        <x:patternFill patternType="solid">
          <x:bgColor rgb="FFFFF3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de077bad124859" /><Relationship Type="http://schemas.openxmlformats.org/officeDocument/2006/relationships/theme" Target="/xl/theme/theme1.xml" Id="R9bf51b28ab8f4b45" /><Relationship Type="http://schemas.openxmlformats.org/officeDocument/2006/relationships/sharedStrings" Target="/xl/sharedStrings.xml" Id="Ra24e81da900148cc" /><Relationship Type="http://schemas.openxmlformats.org/officeDocument/2006/relationships/worksheet" Target="/xl/worksheets/sheet1.xml" Id="R9f27e44e809f4177" /><Relationship Type="http://schemas.openxmlformats.org/officeDocument/2006/relationships/worksheet" Target="/xl/worksheets/sheet2.xml" Id="Rba2e002ab4ad4641" /><Relationship Type="http://schemas.openxmlformats.org/officeDocument/2006/relationships/worksheet" Target="/xl/worksheets/sheet3.xml" Id="R2bde75960d724e09" /><Relationship Type="http://schemas.openxmlformats.org/officeDocument/2006/relationships/worksheet" Target="/xl/worksheets/sheet4.xml" Id="Rbdcf51e90aa34ae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efd50c4d901475c" /><Relationship Type="http://schemas.openxmlformats.org/officeDocument/2006/relationships/chart" Target="/xl/drawings/charts/chart2.xml" Id="R5d3d480edeff4d9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Inventory by condition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'Summary'!$D$5:$D$6</c:f>
              <c:strCache>
                <c:ptCount val="0"/>
              </c:strCache>
            </c:strRef>
          </c:cat>
          <c:val>
            <c:numRef>
              <c:f>'Summary'!$E$5:$E$6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Top models by listed units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Units</c:v>
          </c:tx>
          <c:cat>
            <c:strRef>
              <c:f>'Summary'!$C$27:$C$36</c:f>
              <c:strCache>
                <c:ptCount val="0"/>
              </c:strCache>
            </c:strRef>
          </c:cat>
          <c:val>
            <c:numRef>
              <c:f>'Summary'!$D$27:$D$36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9</xdr:row>
      <xdr:rowOff>0</xdr:rowOff>
    </xdr:from>
    <xdr:to>
      <xdr:col>8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efd50c4d901475c"/>
        </a:graphicData>
      </a:graphic>
    </xdr:graphicFrame>
    <xdr:clientData/>
  </xdr:twoCellAnchor>
  <xdr:twoCellAnchor>
    <xdr:from>
      <xdr:col>4</xdr:col>
      <xdr:colOff>0</xdr:colOff>
      <xdr:row>24</xdr:row>
      <xdr:rowOff>0</xdr:rowOff>
    </xdr:from>
    <xdr:to>
      <xdr:col>8</xdr:col>
      <xdr:colOff>0</xdr:colOff>
      <xdr:row>37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d3d480edeff4d9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InventoryListingSnapshot" displayName="InventoryListingSnapshot" ref="A1:S200" headerRowCount="1">
  <x:tableColumns count="19">
    <x:tableColumn id="1" name="Source Record ID"/>
    <x:tableColumn id="2" name="Dealership ID"/>
    <x:tableColumn id="3" name="Store Name"/>
    <x:tableColumn id="4" name="Captured At"/>
    <x:tableColumn id="5" name="Source Batch ID"/>
    <x:tableColumn id="6" name="Source Feed"/>
    <x:tableColumn id="7" name="Condition"/>
    <x:tableColumn id="8" name="Model Year"/>
    <x:tableColumn id="9" name="Make"/>
    <x:tableColumn id="10" name="Model"/>
    <x:tableColumn id="11" name="Trim"/>
    <x:tableColumn id="12" name="Vehicle Display"/>
    <x:tableColumn id="13" name="Odometer Miles"/>
    <x:tableColumn id="14" name="Advertised Price"/>
    <x:tableColumn id="15" name="Pricing Status"/>
    <x:tableColumn id="16" name="Synthetic Vehicle ID"/>
    <x:tableColumn id="17" name="Synthetic VIN"/>
    <x:tableColumn id="18" name="Inventory Unit Count"/>
    <x:tableColumn id="19" name="Data Classification"/>
  </x:tableColumns>
  <x:tableStyleInfo name="TableStyleMedium2" showRowStripes="1"/>
</x:table>
</file>

<file path=xl/tables/table2.xml><?xml version="1.0" encoding="utf-8"?>
<x:table xmlns:x="http://schemas.openxmlformats.org/spreadsheetml/2006/main" id="2" name="InventoryModelSummary" displayName="InventoryModelSummary" ref="A4:I26" headerRowCount="1">
  <x:tableColumns count="9">
    <x:tableColumn id="1" name="Condition"/>
    <x:tableColumn id="2" name="Make"/>
    <x:tableColumn id="3" name="Model"/>
    <x:tableColumn id="4" name="Total Units"/>
    <x:tableColumn id="5" name="Listed Units"/>
    <x:tableColumn id="6" name="Call for Price"/>
    <x:tableColumn id="7" name="Average Listed Price"/>
    <x:tableColumn id="8" name="Minimum Listed Price"/>
    <x:tableColumn id="9" name="Maximum Listed Pri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89ad65283a34450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f7fda26b3b144f0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c5abeeff44834fda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74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8" customHeight="1">
      <x:c r="A1" s="5" t="str">
        <x:v>ARPI Inventory Operations | Sanitized Public Reference Artifact</x:v>
      </x:c>
      <x:c r="B1" s="5"/>
      <x:c r="C1" s="5"/>
      <x:c r="D1" s="5"/>
      <x:c r="E1" s="5"/>
      <x:c r="F1" s="5"/>
      <x:c r="G1" s="5"/>
      <x:c r="H1" s="5"/>
    </x:row>
    <x:row r="2" ht="28" customHeight="1">
      <x:c r="A2" s="5"/>
      <x:c r="B2" s="5"/>
      <x:c r="C2" s="5"/>
      <x:c r="D2" s="5"/>
      <x:c r="E2" s="5"/>
      <x:c r="F2" s="5"/>
      <x:c r="G2" s="5"/>
      <x:c r="H2" s="5"/>
    </x:row>
    <x:row r="4" ht="22" customHeight="1">
      <x:c r="A4" s="16" t="str">
        <x:v>Artifact</x:v>
      </x:c>
      <x:c r="B4" s="17" t="str">
        <x:v>Granite Chevrolet inventory listing snapshot</x:v>
      </x:c>
    </x:row>
    <x:row r="5" ht="22" customHeight="1">
      <x:c r="A5" s="18" t="str">
        <x:v>Dealer group</x:v>
      </x:c>
      <x:c r="B5" s="19" t="str">
        <x:v>Granite State Auto Group</x:v>
      </x:c>
    </x:row>
    <x:row r="6" ht="22" customHeight="1">
      <x:c r="A6" s="18" t="str">
        <x:v>Store</x:v>
      </x:c>
      <x:c r="B6" s="19" t="str">
        <x:v>Granite Chevrolet of Nashua</x:v>
      </x:c>
    </x:row>
    <x:row r="7" ht="22" customHeight="1">
      <x:c r="A7" s="18" t="str">
        <x:v>Dealership ID</x:v>
      </x:c>
      <x:c r="B7" s="19" t="str">
        <x:v>GSA-001</x:v>
      </x:c>
    </x:row>
    <x:row r="8" ht="22" customHeight="1">
      <x:c r="A8" s="18" t="str">
        <x:v>Market</x:v>
      </x:c>
      <x:c r="B8" s="19" t="str">
        <x:v>Southern New Hampshire</x:v>
      </x:c>
    </x:row>
    <x:row r="9" ht="22" customHeight="1">
      <x:c r="A9" s="18" t="str">
        <x:v>Snapshot date</x:v>
      </x:c>
      <x:c r="B9" s="28" t="n">
        <x:v>46236</x:v>
      </x:c>
    </x:row>
    <x:row r="10" ht="22" customHeight="1">
      <x:c r="A10" s="18" t="str">
        <x:v>Source type</x:v>
      </x:c>
      <x:c r="B10" s="19" t="str">
        <x:v>Public inventory listing snapshot, de-identified for portfolio use</x:v>
      </x:c>
    </x:row>
    <x:row r="11" ht="22" customHeight="1">
      <x:c r="A11" s="18" t="str">
        <x:v>Classification</x:v>
      </x:c>
      <x:c r="B11" s="19" t="str">
        <x:v>Sanitized public reference data</x:v>
      </x:c>
    </x:row>
    <x:row r="12" ht="22" customHeight="1">
      <x:c r="A12" s="20" t="str">
        <x:v>Sanitization version</x:v>
      </x:c>
      <x:c r="B12" s="21" t="str">
        <x:v>1.0</x:v>
      </x:c>
    </x:row>
    <x:row r="14">
      <x:c r="A14" s="33" t="str">
        <x:v>Sanitization controls applied</x:v>
      </x:c>
      <x:c r="B14" s="33"/>
      <x:c r="C14" s="33"/>
      <x:c r="D14" s="33"/>
      <x:c r="E14" s="33"/>
      <x:c r="F14" s="33"/>
      <x:c r="G14" s="33"/>
      <x:c r="H14" s="33"/>
    </x:row>
    <x:row r="15" ht="32" customHeight="1">
      <x:c r="A15" s="41" t="str">
        <x:v>Control</x:v>
      </x:c>
      <x:c r="B15" s="41" t="str">
        <x:v>Result</x:v>
      </x:c>
      <x:c r="C15" s="41" t="str">
        <x:v>Public artifact treatment</x:v>
      </x:c>
      <x:c r="D15" s="41"/>
      <x:c r="E15" s="41"/>
      <x:c r="F15" s="41"/>
      <x:c r="G15" s="41"/>
      <x:c r="H15" s="41"/>
    </x:row>
    <x:row r="16" ht="32" customHeight="1">
      <x:c r="A16" s="46" t="str">
        <x:v>Real VINs</x:v>
      </x:c>
      <x:c r="B16" s="47" t="str">
        <x:v>199 replaced</x:v>
      </x:c>
      <x:c r="C16" s="57" t="str">
        <x:v>Replaced with deterministic ARPI-prefixed synthetic VINs; no original VIN retained.</x:v>
      </x:c>
      <x:c r="D16" s="57"/>
      <x:c r="E16" s="57"/>
      <x:c r="F16" s="57"/>
      <x:c r="G16" s="57"/>
      <x:c r="H16" s="58"/>
    </x:row>
    <x:row r="17" ht="32" customHeight="1">
      <x:c r="A17" s="48" t="str">
        <x:v>Source URLs</x:v>
      </x:c>
      <x:c r="B17" s="49" t="str">
        <x:v>199 removed</x:v>
      </x:c>
      <x:c r="C17" s="59" t="str">
        <x:v>Row-level external URLs removed and replaced with a neutral source-feed label.</x:v>
      </x:c>
      <x:c r="D17" s="59"/>
      <x:c r="E17" s="59"/>
      <x:c r="F17" s="59"/>
      <x:c r="G17" s="59"/>
      <x:c r="H17" s="60"/>
    </x:row>
    <x:row r="18" ht="32" customHeight="1">
      <x:c r="A18" s="48" t="str">
        <x:v>External dealer identity</x:v>
      </x:c>
      <x:c r="B18" s="49" t="str">
        <x:v>Removed</x:v>
      </x:c>
      <x:c r="C18" s="59" t="str">
        <x:v>All external dealership references removed. Records assigned to fictional store GSA-001.</x:v>
      </x:c>
      <x:c r="D18" s="59"/>
      <x:c r="E18" s="59"/>
      <x:c r="F18" s="59"/>
      <x:c r="G18" s="59"/>
      <x:c r="H18" s="60"/>
    </x:row>
    <x:row r="19" ht="32" customHeight="1">
      <x:c r="A19" s="48" t="str">
        <x:v>Street address</x:v>
      </x:c>
      <x:c r="B19" s="49" t="str">
        <x:v>Removed</x:v>
      </x:c>
      <x:c r="C19" s="59" t="str">
        <x:v>Geography stops at store name and market region.</x:v>
      </x:c>
      <x:c r="D19" s="59"/>
      <x:c r="E19" s="59"/>
      <x:c r="F19" s="59"/>
      <x:c r="G19" s="59"/>
      <x:c r="H19" s="60"/>
    </x:row>
    <x:row r="20" ht="32" customHeight="1">
      <x:c r="A20" s="50" t="str">
        <x:v>Record identity</x:v>
      </x:c>
      <x:c r="B20" s="51" t="str">
        <x:v>199 generated</x:v>
      </x:c>
      <x:c r="C20" s="61" t="str">
        <x:v>Synthetic source record IDs and group-stable vehicle IDs support repeatable ingestion, cross-snapshot matching, and future multi-store analysis.</x:v>
      </x:c>
      <x:c r="D20" s="61"/>
      <x:c r="E20" s="61"/>
      <x:c r="F20" s="61"/>
      <x:c r="G20" s="61"/>
      <x:c r="H20" s="62"/>
    </x:row>
    <x:row r="22">
      <x:c r="A22" s="33" t="str">
        <x:v>Business semantics and limitations</x:v>
      </x:c>
      <x:c r="B22" s="33"/>
      <x:c r="C22" s="33"/>
      <x:c r="D22" s="33"/>
      <x:c r="E22" s="33"/>
      <x:c r="F22" s="33"/>
      <x:c r="G22" s="33"/>
      <x:c r="H22" s="33"/>
    </x:row>
    <x:row r="23" ht="42" customHeight="1">
      <x:c r="A23" s="16" t="str">
        <x:v>Observed listing</x:v>
      </x:c>
      <x:c r="B23" s="58" t="str">
        <x:v>A row proves that a vehicle listing was visible in the source snapshot. It does not prove physical on-ground status.</x:v>
      </x:c>
    </x:row>
    <x:row r="24" ht="42" customHeight="1">
      <x:c r="A24" s="18" t="str">
        <x:v>Advertised price</x:v>
      </x:c>
      <x:c r="B24" s="60" t="str">
        <x:v>The listed price is not transaction price, acquisition cost, inventory investment, MSRP, or gross.</x:v>
      </x:c>
    </x:row>
    <x:row r="25" ht="42" customHeight="1">
      <x:c r="A25" s="18" t="str">
        <x:v>Removed listing</x:v>
      </x:c>
      <x:c r="B25" s="60" t="str">
        <x:v>A future disappearance means removed from listing, not necessarily sold. It could reflect sale, trade, wholesale, feed suppression, or error.</x:v>
      </x:c>
    </x:row>
    <x:row r="26" ht="42" customHeight="1">
      <x:c r="A26" s="18" t="str">
        <x:v>Days observed online</x:v>
      </x:c>
      <x:c r="B26" s="60" t="str">
        <x:v>Future repeated snapshots can calculate days observed online. That must not be labeled days in stock.</x:v>
      </x:c>
    </x:row>
    <x:row r="27" ht="42" customHeight="1">
      <x:c r="A27" s="20" t="str">
        <x:v>Portfolio status</x:v>
      </x:c>
      <x:c r="B27" s="62" t="str">
        <x:v>Dealer and vehicle identifiers are synthetic. Model, trim, mileage, condition, and advertised-price attributes remain a de-identified public reference snapshot.</x:v>
      </x:c>
    </x:row>
    <x:row r="29">
      <x:c r="A29" s="33" t="str">
        <x:v>Repository placement and intended ingestion contract</x:v>
      </x:c>
      <x:c r="B29" s="33"/>
      <x:c r="C29" s="33"/>
      <x:c r="D29" s="33"/>
      <x:c r="E29" s="33"/>
      <x:c r="F29" s="33"/>
      <x:c r="G29" s="33"/>
      <x:c r="H29" s="33"/>
    </x:row>
    <x:row r="30" ht="34" customHeight="1">
      <x:c r="A30" s="16" t="str">
        <x:v>Recommended repository path</x:v>
      </x:c>
      <x:c r="B30" s="58" t="str">
        <x:v>data/reference/inventory/gsa-001/2026-08-02/granite-chevrolet-inventory-sanitized.xlsx</x:v>
      </x:c>
    </x:row>
    <x:row r="31" ht="34" customHeight="1">
      <x:c r="A31" s="18" t="str">
        <x:v>Raw source policy</x:v>
      </x:c>
      <x:c r="B31" s="60" t="str">
        <x:v>Keep the original unsanitized workbook outside Git and outside the repository.</x:v>
      </x:c>
    </x:row>
    <x:row r="32" ht="34" customHeight="1">
      <x:c r="A32" s="18" t="str">
        <x:v>Intended adapter</x:v>
      </x:c>
      <x:c r="B32" s="60" t="str">
        <x:v>scripts/import_inventory_snapshot.py</x:v>
      </x:c>
    </x:row>
    <x:row r="33" ht="34" customHeight="1">
      <x:c r="A33" s="18" t="str">
        <x:v>Target source entity</x:v>
      </x:c>
      <x:c r="B33" s="60" t="str">
        <x:v>inventory_listing_snapshot</x:v>
      </x:c>
    </x:row>
    <x:row r="34" ht="34" customHeight="1">
      <x:c r="A34" s="20" t="str">
        <x:v>Target warehouse fact</x:v>
      </x:c>
      <x:c r="B34" s="62" t="str">
        <x:v>warehouse.fact_vehicle_listing_snapshot</x:v>
      </x:c>
    </x:row>
    <x:row r="35" ht="42" customHeight="1">
      <x:c r="A35" s="297" t="str">
        <x:v>Governance requirement</x:v>
      </x:c>
      <x:c r="B35" s="301" t="str">
        <x:v>Create an ADR and a separate data/reference policy before committing this workbook. It must not be placed under data/sample, which is reserved for fully machine-generated data.</x:v>
      </x:c>
    </x:row>
    <x:row r="36">
      <x:c r="A36" s="33"/>
      <x:c r="B36" s="33"/>
      <x:c r="C36" s="33"/>
      <x:c r="D36" s="33"/>
      <x:c r="E36" s="33"/>
      <x:c r="F36" s="33"/>
      <x:c r="G36" s="33"/>
      <x:c r="H36" s="33"/>
    </x:row>
    <x:row r="37" ht="28" customHeight="1">
      <x:c r="A37" s="309" t="str">
        <x:v>Published reference notice</x:v>
      </x:c>
      <x:c r="B37" s="310"/>
      <x:c r="C37" s="310"/>
      <x:c r="D37" s="310"/>
      <x:c r="E37" s="310"/>
      <x:c r="F37" s="310"/>
      <x:c r="G37" s="310"/>
      <x:c r="H37" s="311"/>
    </x:row>
    <x:row r="38" ht="28" customHeight="1">
      <x:c r="A38" s="355" t="str">
        <x:v>Granite State Auto Group and Granite Chevrolet of Nashua are fictional. Original VINs, source URLs, street address, and real dealership identity have been removed. This workbook is not fully synthetic: model, trim, mileage, condition, advertised-price, and inventory-mix attributes are retained from a de-identified public reference snapshot. Do not present these rows as current dealership performance, confidential operational data, completed sales, or transaction results.</x:v>
      </x:c>
      <x:c r="B38" s="356"/>
      <x:c r="C38" s="356"/>
      <x:c r="D38" s="356"/>
      <x:c r="E38" s="356"/>
      <x:c r="F38" s="356"/>
      <x:c r="G38" s="356"/>
      <x:c r="H38" s="357"/>
    </x:row>
    <x:row r="39" ht="28" customHeight="1">
      <x:c r="A39" s="358"/>
      <x:c r="B39" s="359"/>
      <x:c r="C39" s="359"/>
      <x:c r="D39" s="359"/>
      <x:c r="E39" s="359"/>
      <x:c r="F39" s="359"/>
      <x:c r="G39" s="359"/>
      <x:c r="H39" s="360"/>
    </x:row>
    <x:row r="40" ht="28" customHeight="1">
      <x:c r="A40" s="361"/>
      <x:c r="B40" s="362"/>
      <x:c r="C40" s="362"/>
      <x:c r="D40" s="362"/>
      <x:c r="E40" s="362"/>
      <x:c r="F40" s="362"/>
      <x:c r="G40" s="362"/>
      <x:c r="H40" s="363"/>
    </x:row>
    <x:row r="41" ht="28" customHeight="1">
      <x:c r="A41" s="361"/>
      <x:c r="B41" s="362"/>
      <x:c r="C41" s="362"/>
      <x:c r="D41" s="362"/>
      <x:c r="E41" s="362"/>
      <x:c r="F41" s="362"/>
      <x:c r="G41" s="362"/>
      <x:c r="H41" s="363"/>
    </x:row>
  </x:sheetData>
  <x:mergeCells>
    <x:mergeCell ref="A1:H2"/>
    <x:mergeCell ref="A14:H14"/>
    <x:mergeCell ref="C16:H16"/>
    <x:mergeCell ref="C17:H17"/>
    <x:mergeCell ref="C18:H18"/>
    <x:mergeCell ref="C19:H19"/>
    <x:mergeCell ref="C20:H20"/>
    <x:mergeCell ref="A22:H22"/>
    <x:mergeCell ref="A29:H29"/>
    <x:mergeCell ref="A37:H37"/>
    <x:mergeCell ref="A38:H4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25" hidden="0" customWidth="1"/>
    <x:col min="4" max="4" width="19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8" customHeight="1">
      <x:c r="A1" s="5" t="str">
        <x:v>ARPI Inventory Operations | Granite Chevrolet of Nashua</x:v>
      </x:c>
      <x:c r="B1" s="5"/>
      <x:c r="C1" s="5"/>
      <x:c r="D1" s="5"/>
      <x:c r="E1" s="5"/>
      <x:c r="F1" s="5"/>
      <x:c r="G1" s="5"/>
      <x:c r="H1" s="5"/>
    </x:row>
    <x:row r="2" ht="28" customHeight="1">
      <x:c r="A2" s="5"/>
      <x:c r="B2" s="5"/>
      <x:c r="C2" s="5"/>
      <x:c r="D2" s="5"/>
      <x:c r="E2" s="5"/>
      <x:c r="F2" s="5"/>
      <x:c r="G2" s="5"/>
      <x:c r="H2" s="5"/>
    </x:row>
    <x:row r="4">
      <x:c r="A4" s="16" t="str">
        <x:v>Dealer group</x:v>
      </x:c>
      <x:c r="B4" s="17" t="str">
        <x:v>Granite State Auto Group</x:v>
      </x:c>
      <x:c r="D4" s="165" t="str">
        <x:v>Condition</x:v>
      </x:c>
      <x:c r="E4" s="166" t="str">
        <x:v>Count</x:v>
      </x:c>
    </x:row>
    <x:row r="5">
      <x:c r="A5" s="18" t="str">
        <x:v>Store</x:v>
      </x:c>
      <x:c r="B5" s="19" t="str">
        <x:v>Granite Chevrolet of Nashua</x:v>
      </x:c>
      <x:c r="D5" s="18" t="str">
        <x:v>New</x:v>
      </x:c>
      <x:c r="E5" s="169" t="n">
        <x:f>COUNTIF(Inventory!$G$2:$G$200,"New")</x:f>
        <x:v>195</x:v>
      </x:c>
    </x:row>
    <x:row r="6">
      <x:c r="A6" s="18" t="str">
        <x:v>Dealership ID</x:v>
      </x:c>
      <x:c r="B6" s="19" t="str">
        <x:v>GSA-001</x:v>
      </x:c>
      <x:c r="D6" s="18" t="str">
        <x:v>Used</x:v>
      </x:c>
      <x:c r="E6" s="169" t="n">
        <x:f>COUNTIF(Inventory!$G$2:$G$200,"Used")</x:f>
        <x:v>4</x:v>
      </x:c>
    </x:row>
    <x:row r="7">
      <x:c r="A7" s="18" t="str">
        <x:v>Market</x:v>
      </x:c>
      <x:c r="B7" s="19" t="str">
        <x:v>Southern New Hampshire</x:v>
      </x:c>
      <x:c r="D7" s="18" t="str">
        <x:v>Listed price</x:v>
      </x:c>
      <x:c r="E7" s="169" t="n">
        <x:f>COUNTIF(Inventory!$O$2:$O$200,"Listed")</x:f>
        <x:v>197</x:v>
      </x:c>
    </x:row>
    <x:row r="8">
      <x:c r="A8" s="20" t="str">
        <x:v>Snapshot date</x:v>
      </x:c>
      <x:c r="B8" s="163" t="n">
        <x:v>46236</x:v>
      </x:c>
      <x:c r="D8" s="20" t="str">
        <x:v>Call for price</x:v>
      </x:c>
      <x:c r="E8" s="175" t="n">
        <x:f>COUNTIF(Inventory!$O$2:$O$200,"Call for price")</x:f>
        <x:v>2</x:v>
      </x:c>
    </x:row>
    <x:row r="10">
      <x:c r="A10" s="165" t="str">
        <x:v>Metric</x:v>
      </x:c>
      <x:c r="B10" s="166" t="str">
        <x:v>Value</x:v>
      </x:c>
    </x:row>
    <x:row r="11">
      <x:c r="A11" s="18" t="str">
        <x:v>Total listed vehicles</x:v>
      </x:c>
      <x:c r="B11" s="169" t="n">
        <x:f>COUNTA(Inventory!$A$2:$A$200)</x:f>
        <x:v>199</x:v>
      </x:c>
    </x:row>
    <x:row r="12">
      <x:c r="A12" s="18" t="str">
        <x:v>New vehicles</x:v>
      </x:c>
      <x:c r="B12" s="169" t="n">
        <x:f>COUNTIF(Inventory!$G$2:$G$200,"New")</x:f>
        <x:v>195</x:v>
      </x:c>
    </x:row>
    <x:row r="13">
      <x:c r="A13" s="18" t="str">
        <x:v>Used vehicles</x:v>
      </x:c>
      <x:c r="B13" s="169" t="n">
        <x:f>COUNTIF(Inventory!$G$2:$G$200,"Used")</x:f>
        <x:v>4</x:v>
      </x:c>
    </x:row>
    <x:row r="14">
      <x:c r="A14" s="18" t="str">
        <x:v>Vehicles with listed price</x:v>
      </x:c>
      <x:c r="B14" s="169" t="n">
        <x:f>COUNTIF(Inventory!$O$2:$O$200,"Listed")</x:f>
        <x:v>197</x:v>
      </x:c>
    </x:row>
    <x:row r="15">
      <x:c r="A15" s="18" t="str">
        <x:v>Call for price</x:v>
      </x:c>
      <x:c r="B15" s="169" t="n">
        <x:f>COUNTIF(Inventory!$O$2:$O$200,"Call for price")</x:f>
        <x:v>2</x:v>
      </x:c>
    </x:row>
    <x:row r="16">
      <x:c r="A16" s="18" t="str">
        <x:v>Total advertised inventory value</x:v>
      </x:c>
      <x:c r="B16" s="171" t="n">
        <x:f>SUM(Inventory!$N$2:$N$200)</x:f>
        <x:v>10329178</x:v>
      </x:c>
    </x:row>
    <x:row r="17">
      <x:c r="A17" s="20" t="str">
        <x:v>Average listed price</x:v>
      </x:c>
      <x:c r="B17" s="172" t="n">
        <x:f>IF(B14=0,0,B16/B14)</x:f>
        <x:v>52432.37563451777</x:v>
      </x:c>
    </x:row>
    <x:row r="19">
      <x:c r="A19" s="33" t="str">
        <x:v>Governed interpretation</x:v>
      </x:c>
      <x:c r="B19" s="33"/>
      <x:c r="C19" s="33"/>
      <x:c r="D19" s="33"/>
      <x:c r="E19" s="33"/>
      <x:c r="F19" s="33"/>
      <x:c r="G19" s="33"/>
      <x:c r="H19" s="33"/>
    </x:row>
    <x:row r="20">
      <x:c r="A20" s="195" t="str">
        <x:v>This report describes an observed public listing snapshot for the fictional Granite Chevrolet of Nashua. Advertised prices are not transaction prices or inventory cost. Listing disappearance does not prove a sale. Repeated snapshots may support listing churn and days observed online, but not dealership days in stock.</x:v>
      </x:c>
      <x:c r="B20" s="196"/>
      <x:c r="C20" s="196"/>
      <x:c r="D20" s="196"/>
      <x:c r="E20" s="196"/>
      <x:c r="F20" s="196"/>
      <x:c r="G20" s="196"/>
      <x:c r="H20" s="197"/>
    </x:row>
    <x:row r="21">
      <x:c r="A21" s="198"/>
      <x:c r="B21" s="199"/>
      <x:c r="C21" s="199"/>
      <x:c r="D21" s="199"/>
      <x:c r="E21" s="199"/>
      <x:c r="F21" s="199"/>
      <x:c r="G21" s="199"/>
      <x:c r="H21" s="200"/>
    </x:row>
    <x:row r="22">
      <x:c r="A22" s="198"/>
      <x:c r="B22" s="199"/>
      <x:c r="C22" s="199"/>
      <x:c r="D22" s="199"/>
      <x:c r="E22" s="199"/>
      <x:c r="F22" s="199"/>
      <x:c r="G22" s="199"/>
      <x:c r="H22" s="200"/>
    </x:row>
    <x:row r="23">
      <x:c r="A23" s="201"/>
      <x:c r="B23" s="202"/>
      <x:c r="C23" s="202"/>
      <x:c r="D23" s="202"/>
      <x:c r="E23" s="202"/>
      <x:c r="F23" s="202"/>
      <x:c r="G23" s="202"/>
      <x:c r="H23" s="203"/>
    </x:row>
    <x:row r="25">
      <x:c r="A25" s="33" t="str">
        <x:v>Top inventory models</x:v>
      </x:c>
      <x:c r="B25" s="33"/>
      <x:c r="C25" s="33"/>
      <x:c r="D25" s="33"/>
      <x:c r="E25" s="33"/>
      <x:c r="F25" s="33"/>
      <x:c r="G25" s="33"/>
      <x:c r="H25" s="33"/>
    </x:row>
    <x:row r="26">
      <x:c r="A26" s="165" t="str">
        <x:v>Condition</x:v>
      </x:c>
      <x:c r="B26" s="231" t="str">
        <x:v>Make</x:v>
      </x:c>
      <x:c r="C26" s="231" t="str">
        <x:v>Model</x:v>
      </x:c>
      <x:c r="D26" s="166" t="str">
        <x:v>Units</x:v>
      </x:c>
    </x:row>
    <x:row r="27">
      <x:c r="A27" s="46" t="str">
        <x:v>New</x:v>
      </x:c>
      <x:c r="B27" s="47" t="str">
        <x:v>Chevrolet</x:v>
      </x:c>
      <x:c r="C27" s="17" t="str">
        <x:v>Silverado 1500</x:v>
      </x:c>
      <x:c r="D27" s="232" t="n">
        <x:f>COUNTIFS(Inventory!$G$2:$G$200,A27,Inventory!$I$2:$I$200,B27,Inventory!$J$2:$J$200,C27)</x:f>
        <x:v>46</x:v>
      </x:c>
    </x:row>
    <x:row r="28">
      <x:c r="A28" s="48" t="str">
        <x:v>New</x:v>
      </x:c>
      <x:c r="B28" s="49" t="str">
        <x:v>Chevrolet</x:v>
      </x:c>
      <x:c r="C28" s="19" t="str">
        <x:v>Equinox</x:v>
      </x:c>
      <x:c r="D28" s="232" t="n">
        <x:f>COUNTIFS(Inventory!$G$2:$G$200,A28,Inventory!$I$2:$I$200,B28,Inventory!$J$2:$J$200,C28)</x:f>
        <x:v>33</x:v>
      </x:c>
    </x:row>
    <x:row r="29">
      <x:c r="A29" s="48" t="str">
        <x:v>New</x:v>
      </x:c>
      <x:c r="B29" s="49" t="str">
        <x:v>Chevrolet</x:v>
      </x:c>
      <x:c r="C29" s="19" t="str">
        <x:v>Silverado 2500 HD</x:v>
      </x:c>
      <x:c r="D29" s="232" t="n">
        <x:f>COUNTIFS(Inventory!$G$2:$G$200,A29,Inventory!$I$2:$I$200,B29,Inventory!$J$2:$J$200,C29)</x:f>
        <x:v>30</x:v>
      </x:c>
    </x:row>
    <x:row r="30">
      <x:c r="A30" s="48" t="str">
        <x:v>New</x:v>
      </x:c>
      <x:c r="B30" s="49" t="str">
        <x:v>Chevrolet</x:v>
      </x:c>
      <x:c r="C30" s="19" t="str">
        <x:v>Traverse</x:v>
      </x:c>
      <x:c r="D30" s="232" t="n">
        <x:f>COUNTIFS(Inventory!$G$2:$G$200,A30,Inventory!$I$2:$I$200,B30,Inventory!$J$2:$J$200,C30)</x:f>
        <x:v>22</x:v>
      </x:c>
    </x:row>
    <x:row r="31">
      <x:c r="A31" s="48" t="str">
        <x:v>New</x:v>
      </x:c>
      <x:c r="B31" s="49" t="str">
        <x:v>Chevrolet</x:v>
      </x:c>
      <x:c r="C31" s="19" t="str">
        <x:v>Colorado</x:v>
      </x:c>
      <x:c r="D31" s="232" t="n">
        <x:f>COUNTIFS(Inventory!$G$2:$G$200,A31,Inventory!$I$2:$I$200,B31,Inventory!$J$2:$J$200,C31)</x:f>
        <x:v>14</x:v>
      </x:c>
    </x:row>
    <x:row r="32">
      <x:c r="A32" s="48" t="str">
        <x:v>New</x:v>
      </x:c>
      <x:c r="B32" s="49" t="str">
        <x:v>Chevrolet</x:v>
      </x:c>
      <x:c r="C32" s="19" t="str">
        <x:v>Tahoe</x:v>
      </x:c>
      <x:c r="D32" s="232" t="n">
        <x:f>COUNTIFS(Inventory!$G$2:$G$200,A32,Inventory!$I$2:$I$200,B32,Inventory!$J$2:$J$200,C32)</x:f>
        <x:v>13</x:v>
      </x:c>
    </x:row>
    <x:row r="33">
      <x:c r="A33" s="48" t="str">
        <x:v>New</x:v>
      </x:c>
      <x:c r="B33" s="49" t="str">
        <x:v>Chevrolet</x:v>
      </x:c>
      <x:c r="C33" s="19" t="str">
        <x:v>Suburban</x:v>
      </x:c>
      <x:c r="D33" s="232" t="n">
        <x:f>COUNTIFS(Inventory!$G$2:$G$200,A33,Inventory!$I$2:$I$200,B33,Inventory!$J$2:$J$200,C33)</x:f>
        <x:v>10</x:v>
      </x:c>
    </x:row>
    <x:row r="34">
      <x:c r="A34" s="48" t="str">
        <x:v>New</x:v>
      </x:c>
      <x:c r="B34" s="49" t="str">
        <x:v>Chevrolet</x:v>
      </x:c>
      <x:c r="C34" s="19" t="str">
        <x:v>Trax</x:v>
      </x:c>
      <x:c r="D34" s="232" t="n">
        <x:f>COUNTIFS(Inventory!$G$2:$G$200,A34,Inventory!$I$2:$I$200,B34,Inventory!$J$2:$J$200,C34)</x:f>
        <x:v>9</x:v>
      </x:c>
    </x:row>
    <x:row r="35">
      <x:c r="A35" s="48" t="str">
        <x:v>New</x:v>
      </x:c>
      <x:c r="B35" s="49" t="str">
        <x:v>Chevrolet</x:v>
      </x:c>
      <x:c r="C35" s="19" t="str">
        <x:v>Express Cutaway 3500</x:v>
      </x:c>
      <x:c r="D35" s="232" t="n">
        <x:f>COUNTIFS(Inventory!$G$2:$G$200,A35,Inventory!$I$2:$I$200,B35,Inventory!$J$2:$J$200,C35)</x:f>
        <x:v>4</x:v>
      </x:c>
    </x:row>
    <x:row r="36">
      <x:c r="A36" s="50" t="str">
        <x:v>New</x:v>
      </x:c>
      <x:c r="B36" s="51" t="str">
        <x:v>Chevrolet</x:v>
      </x:c>
      <x:c r="C36" s="21" t="str">
        <x:v>Silverado 3500 HD Chassis Cab</x:v>
      </x:c>
      <x:c r="D36" s="233" t="n">
        <x:f>COUNTIFS(Inventory!$G$2:$G$200,A36,Inventory!$I$2:$I$200,B36,Inventory!$J$2:$J$200,C36)</x:f>
        <x:v>3</x:v>
      </x:c>
    </x:row>
    <x:row r="38">
      <x:c r="A38" s="33" t="str">
        <x:v>Sanitized public reference notice</x:v>
      </x:c>
      <x:c r="B38" s="33"/>
      <x:c r="C38" s="33"/>
      <x:c r="D38" s="33"/>
      <x:c r="E38" s="33"/>
      <x:c r="F38" s="33"/>
      <x:c r="G38" s="33"/>
      <x:c r="H38" s="33"/>
    </x:row>
    <x:row r="39">
      <x:c r="A39" s="256" t="str">
        <x:v>Granite State Auto Group and its stores are fictional. Original VINs and source URLs are removed, but listing attributes remain a de-identified public reference snapshot. Use the README sheet for the governance requirement, repository path, and ingestion contract.</x:v>
      </x:c>
      <x:c r="B39" s="257"/>
      <x:c r="C39" s="257"/>
      <x:c r="D39" s="257"/>
      <x:c r="E39" s="257"/>
      <x:c r="F39" s="257"/>
      <x:c r="G39" s="257"/>
      <x:c r="H39" s="258"/>
    </x:row>
    <x:row r="40">
      <x:c r="A40" s="259"/>
      <x:c r="B40" s="260"/>
      <x:c r="C40" s="260"/>
      <x:c r="D40" s="260"/>
      <x:c r="E40" s="260"/>
      <x:c r="F40" s="260"/>
      <x:c r="G40" s="260"/>
      <x:c r="H40" s="261"/>
    </x:row>
    <x:row r="41">
      <x:c r="A41" s="262"/>
      <x:c r="B41" s="263"/>
      <x:c r="C41" s="263"/>
      <x:c r="D41" s="263"/>
      <x:c r="E41" s="263"/>
      <x:c r="F41" s="263"/>
      <x:c r="G41" s="263"/>
      <x:c r="H41" s="264"/>
    </x:row>
  </x:sheetData>
  <x:mergeCells>
    <x:mergeCell ref="A1:H2"/>
    <x:mergeCell ref="A19:H19"/>
    <x:mergeCell ref="A20:H23"/>
    <x:mergeCell ref="A25:H25"/>
    <x:mergeCell ref="A38:H38"/>
    <x:mergeCell ref="A39:H41"/>
  </x:mergeCells>
  <x:pageMargins left="0.7" right="0.7" top="0.75" bottom="0.75" header="0.3" footer="0.3"/>
  <x:drawing xmlns:r="http://schemas.openxmlformats.org/officeDocument/2006/relationships" r:id="R89ad65283a344506"/>
</x:worksheet>
</file>

<file path=xl/worksheets/sheet3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4" hidden="0" customWidth="1"/>
    <x:col min="3" max="3" width="30" hidden="0" customWidth="1"/>
    <x:col min="4" max="4" width="14" hidden="0" customWidth="1"/>
    <x:col min="5" max="5" width="22" hidden="0" customWidth="1"/>
    <x:col min="6" max="6" width="32" hidden="0" customWidth="1"/>
    <x:col min="7" max="7" width="11" hidden="0" customWidth="1"/>
    <x:col min="8" max="8" width="11" hidden="0" customWidth="1"/>
    <x:col min="9" max="9" width="18" hidden="0" customWidth="1"/>
    <x:col min="10" max="10" width="28" hidden="0" customWidth="1"/>
    <x:col min="11" max="11" width="24" hidden="0" customWidth="1"/>
    <x:col min="12" max="12" width="46" hidden="0" customWidth="1"/>
    <x:col min="13" max="13" width="15" hidden="0" customWidth="1"/>
    <x:col min="14" max="14" width="16" hidden="0" customWidth="1"/>
    <x:col min="15" max="15" width="17" hidden="0" customWidth="1"/>
    <x:col min="16" max="16" width="20" hidden="0" customWidth="1"/>
    <x:col min="17" max="17" width="20" hidden="0" customWidth="1"/>
    <x:col min="18" max="18" width="18" hidden="0" customWidth="1"/>
    <x:col min="19" max="19" width="22" hidden="0" customWidth="1"/>
  </x:cols>
  <x:sheetData>
    <x:row r="1" ht="19" customHeight="1">
      <x:c r="A1" s="41" t="str">
        <x:v>Source Record ID</x:v>
      </x:c>
      <x:c r="B1" s="41" t="str">
        <x:v>Dealership ID</x:v>
      </x:c>
      <x:c r="C1" s="41" t="str">
        <x:v>Store Name</x:v>
      </x:c>
      <x:c r="D1" s="41" t="str">
        <x:v>Captured At</x:v>
      </x:c>
      <x:c r="E1" s="41" t="str">
        <x:v>Source Batch ID</x:v>
      </x:c>
      <x:c r="F1" s="41" t="str">
        <x:v>Source Feed</x:v>
      </x:c>
      <x:c r="G1" s="41" t="str">
        <x:v>Condition</x:v>
      </x:c>
      <x:c r="H1" s="41" t="str">
        <x:v>Model Year</x:v>
      </x:c>
      <x:c r="I1" s="41" t="str">
        <x:v>Make</x:v>
      </x:c>
      <x:c r="J1" s="41" t="str">
        <x:v>Model</x:v>
      </x:c>
      <x:c r="K1" s="41" t="str">
        <x:v>Trim</x:v>
      </x:c>
      <x:c r="L1" s="41" t="str">
        <x:v>Vehicle Display</x:v>
      </x:c>
      <x:c r="M1" s="41" t="str">
        <x:v>Odometer Miles</x:v>
      </x:c>
      <x:c r="N1" s="41" t="str">
        <x:v>Advertised Price</x:v>
      </x:c>
      <x:c r="O1" s="41" t="str">
        <x:v>Pricing Status</x:v>
      </x:c>
      <x:c r="P1" s="41" t="str">
        <x:v>Synthetic Vehicle ID</x:v>
      </x:c>
      <x:c r="Q1" s="41" t="str">
        <x:v>Synthetic VIN</x:v>
      </x:c>
      <x:c r="R1" s="41" t="str">
        <x:v>Inventory Unit Count</x:v>
      </x:c>
      <x:c r="S1" s="41" t="str">
        <x:v>Data Classification</x:v>
      </x:c>
    </x:row>
    <x:row r="2" ht="19" customHeight="1">
      <x:c r="A2" s="143" t="str">
        <x:v>GSA001-20260802-0001</x:v>
      </x:c>
      <x:c r="B2" s="143" t="str">
        <x:v>GSA-001</x:v>
      </x:c>
      <x:c r="C2" s="143" t="str">
        <x:v>Granite Chevrolet of Nashua</x:v>
      </x:c>
      <x:c r="D2" s="144" t="n">
        <x:v>46236</x:v>
      </x:c>
      <x:c r="E2" s="143" t="str">
        <x:v>GSA001-20260802-001</x:v>
      </x:c>
      <x:c r="F2" s="143" t="str">
        <x:v>sanitized_public_inventory_reference</x:v>
      </x:c>
      <x:c r="G2" s="143" t="str">
        <x:v>New</x:v>
      </x:c>
      <x:c r="H2" s="145" t="n">
        <x:v>2026</x:v>
      </x:c>
      <x:c r="I2" s="143" t="str">
        <x:v>Chevrolet</x:v>
      </x:c>
      <x:c r="J2" s="143" t="str">
        <x:v>Colorado</x:v>
      </x:c>
      <x:c r="K2" s="143" t="str">
        <x:v>LT</x:v>
      </x:c>
      <x:c r="L2" s="143" t="str">
        <x:v>2026 Chevrolet Colorado LT</x:v>
      </x:c>
      <x:c r="M2" s="146" t="n">
        <x:v>4</x:v>
      </x:c>
      <x:c r="N2" s="147" t="n">
        <x:v>38690</x:v>
      </x:c>
      <x:c r="O2" s="143" t="str">
        <x:v>Listed</x:v>
      </x:c>
      <x:c r="P2" s="143" t="str">
        <x:v>VEH-CF041EC8630B</x:v>
      </x:c>
      <x:c r="Q2" s="143" t="str">
        <x:v>ARPICF041EC8630BD</x:v>
      </x:c>
      <x:c r="R2" s="145" t="n">
        <x:v>1</x:v>
      </x:c>
      <x:c r="S2" s="143" t="str">
        <x:v>Sanitized public reference data</x:v>
      </x:c>
    </x:row>
    <x:row r="3" ht="19" customHeight="1">
      <x:c r="A3" s="143" t="str">
        <x:v>GSA001-20260802-0002</x:v>
      </x:c>
      <x:c r="B3" s="143" t="str">
        <x:v>GSA-001</x:v>
      </x:c>
      <x:c r="C3" s="143" t="str">
        <x:v>Granite Chevrolet of Nashua</x:v>
      </x:c>
      <x:c r="D3" s="144" t="n">
        <x:v>46236</x:v>
      </x:c>
      <x:c r="E3" s="143" t="str">
        <x:v>GSA001-20260802-001</x:v>
      </x:c>
      <x:c r="F3" s="143" t="str">
        <x:v>sanitized_public_inventory_reference</x:v>
      </x:c>
      <x:c r="G3" s="143" t="str">
        <x:v>New</x:v>
      </x:c>
      <x:c r="H3" s="145" t="n">
        <x:v>2026</x:v>
      </x:c>
      <x:c r="I3" s="143" t="str">
        <x:v>Chevrolet</x:v>
      </x:c>
      <x:c r="J3" s="143" t="str">
        <x:v>Trax</x:v>
      </x:c>
      <x:c r="K3" s="143" t="str">
        <x:v>1RS</x:v>
      </x:c>
      <x:c r="L3" s="143" t="str">
        <x:v>2026 Chevrolet Trax 1RS</x:v>
      </x:c>
      <x:c r="M3" s="146" t="n">
        <x:v>4</x:v>
      </x:c>
      <x:c r="N3" s="147" t="n">
        <x:v>25246</x:v>
      </x:c>
      <x:c r="O3" s="143" t="str">
        <x:v>Listed</x:v>
      </x:c>
      <x:c r="P3" s="143" t="str">
        <x:v>VEH-FEB050EBF8A0</x:v>
      </x:c>
      <x:c r="Q3" s="143" t="str">
        <x:v>ARPIFEB050EBF8A09</x:v>
      </x:c>
      <x:c r="R3" s="145" t="n">
        <x:v>1</x:v>
      </x:c>
      <x:c r="S3" s="143" t="str">
        <x:v>Sanitized public reference data</x:v>
      </x:c>
    </x:row>
    <x:row r="4" ht="19" customHeight="1">
      <x:c r="A4" s="143" t="str">
        <x:v>GSA001-20260802-0003</x:v>
      </x:c>
      <x:c r="B4" s="143" t="str">
        <x:v>GSA-001</x:v>
      </x:c>
      <x:c r="C4" s="143" t="str">
        <x:v>Granite Chevrolet of Nashua</x:v>
      </x:c>
      <x:c r="D4" s="144" t="n">
        <x:v>46236</x:v>
      </x:c>
      <x:c r="E4" s="143" t="str">
        <x:v>GSA001-20260802-001</x:v>
      </x:c>
      <x:c r="F4" s="143" t="str">
        <x:v>sanitized_public_inventory_reference</x:v>
      </x:c>
      <x:c r="G4" s="143" t="str">
        <x:v>New</x:v>
      </x:c>
      <x:c r="H4" s="145" t="n">
        <x:v>2026</x:v>
      </x:c>
      <x:c r="I4" s="143" t="str">
        <x:v>Chevrolet</x:v>
      </x:c>
      <x:c r="J4" s="143" t="str">
        <x:v>Silverado 2500 HD</x:v>
      </x:c>
      <x:c r="K4" s="143" t="str">
        <x:v>WT</x:v>
      </x:c>
      <x:c r="L4" s="143" t="str">
        <x:v>2026 Chevrolet Silverado 2500 HD WT</x:v>
      </x:c>
      <x:c r="M4" s="146" t="n">
        <x:v>4</x:v>
      </x:c>
      <x:c r="N4" s="147" t="n">
        <x:v>53082</x:v>
      </x:c>
      <x:c r="O4" s="143" t="str">
        <x:v>Listed</x:v>
      </x:c>
      <x:c r="P4" s="143" t="str">
        <x:v>VEH-1F29D2EA03AE</x:v>
      </x:c>
      <x:c r="Q4" s="143" t="str">
        <x:v>ARPI1F29D2EA03AEF</x:v>
      </x:c>
      <x:c r="R4" s="145" t="n">
        <x:v>1</x:v>
      </x:c>
      <x:c r="S4" s="143" t="str">
        <x:v>Sanitized public reference data</x:v>
      </x:c>
    </x:row>
    <x:row r="5" ht="19" customHeight="1">
      <x:c r="A5" s="143" t="str">
        <x:v>GSA001-20260802-0004</x:v>
      </x:c>
      <x:c r="B5" s="143" t="str">
        <x:v>GSA-001</x:v>
      </x:c>
      <x:c r="C5" s="143" t="str">
        <x:v>Granite Chevrolet of Nashua</x:v>
      </x:c>
      <x:c r="D5" s="144" t="n">
        <x:v>46236</x:v>
      </x:c>
      <x:c r="E5" s="143" t="str">
        <x:v>GSA001-20260802-001</x:v>
      </x:c>
      <x:c r="F5" s="143" t="str">
        <x:v>sanitized_public_inventory_reference</x:v>
      </x:c>
      <x:c r="G5" s="143" t="str">
        <x:v>New</x:v>
      </x:c>
      <x:c r="H5" s="145" t="n">
        <x:v>2026</x:v>
      </x:c>
      <x:c r="I5" s="143" t="str">
        <x:v>Chevrolet</x:v>
      </x:c>
      <x:c r="J5" s="143" t="str">
        <x:v>Traverse</x:v>
      </x:c>
      <x:c r="K5" s="143" t="str">
        <x:v>LT</x:v>
      </x:c>
      <x:c r="L5" s="143" t="str">
        <x:v>2026 Chevrolet Traverse LT</x:v>
      </x:c>
      <x:c r="M5" s="146" t="n">
        <x:v>4</x:v>
      </x:c>
      <x:c r="N5" s="147" t="n">
        <x:v>41412</x:v>
      </x:c>
      <x:c r="O5" s="143" t="str">
        <x:v>Listed</x:v>
      </x:c>
      <x:c r="P5" s="143" t="str">
        <x:v>VEH-7A865C8A7361</x:v>
      </x:c>
      <x:c r="Q5" s="143" t="str">
        <x:v>ARPI7A865C8A7361F</x:v>
      </x:c>
      <x:c r="R5" s="145" t="n">
        <x:v>1</x:v>
      </x:c>
      <x:c r="S5" s="143" t="str">
        <x:v>Sanitized public reference data</x:v>
      </x:c>
    </x:row>
    <x:row r="6" ht="19" customHeight="1">
      <x:c r="A6" s="143" t="str">
        <x:v>GSA001-20260802-0005</x:v>
      </x:c>
      <x:c r="B6" s="143" t="str">
        <x:v>GSA-001</x:v>
      </x:c>
      <x:c r="C6" s="143" t="str">
        <x:v>Granite Chevrolet of Nashua</x:v>
      </x:c>
      <x:c r="D6" s="144" t="n">
        <x:v>46236</x:v>
      </x:c>
      <x:c r="E6" s="143" t="str">
        <x:v>GSA001-20260802-001</x:v>
      </x:c>
      <x:c r="F6" s="143" t="str">
        <x:v>sanitized_public_inventory_reference</x:v>
      </x:c>
      <x:c r="G6" s="143" t="str">
        <x:v>New</x:v>
      </x:c>
      <x:c r="H6" s="145" t="n">
        <x:v>2026</x:v>
      </x:c>
      <x:c r="I6" s="143" t="str">
        <x:v>Chevrolet</x:v>
      </x:c>
      <x:c r="J6" s="143" t="str">
        <x:v>Traverse</x:v>
      </x:c>
      <x:c r="K6" s="143" t="str">
        <x:v>LT</x:v>
      </x:c>
      <x:c r="L6" s="143" t="str">
        <x:v>2026 Chevrolet Traverse LT</x:v>
      </x:c>
      <x:c r="M6" s="146" t="n">
        <x:v>3</x:v>
      </x:c>
      <x:c r="N6" s="147" t="n">
        <x:v>41412</x:v>
      </x:c>
      <x:c r="O6" s="143" t="str">
        <x:v>Listed</x:v>
      </x:c>
      <x:c r="P6" s="143" t="str">
        <x:v>VEH-BEB0901092EA</x:v>
      </x:c>
      <x:c r="Q6" s="143" t="str">
        <x:v>ARPIBEB0901092EA0</x:v>
      </x:c>
      <x:c r="R6" s="145" t="n">
        <x:v>1</x:v>
      </x:c>
      <x:c r="S6" s="143" t="str">
        <x:v>Sanitized public reference data</x:v>
      </x:c>
    </x:row>
    <x:row r="7" ht="19" customHeight="1">
      <x:c r="A7" s="143" t="str">
        <x:v>GSA001-20260802-0006</x:v>
      </x:c>
      <x:c r="B7" s="143" t="str">
        <x:v>GSA-001</x:v>
      </x:c>
      <x:c r="C7" s="143" t="str">
        <x:v>Granite Chevrolet of Nashua</x:v>
      </x:c>
      <x:c r="D7" s="144" t="n">
        <x:v>46236</x:v>
      </x:c>
      <x:c r="E7" s="143" t="str">
        <x:v>GSA001-20260802-001</x:v>
      </x:c>
      <x:c r="F7" s="143" t="str">
        <x:v>sanitized_public_inventory_reference</x:v>
      </x:c>
      <x:c r="G7" s="143" t="str">
        <x:v>New</x:v>
      </x:c>
      <x:c r="H7" s="145" t="n">
        <x:v>2026</x:v>
      </x:c>
      <x:c r="I7" s="143" t="str">
        <x:v>Chevrolet</x:v>
      </x:c>
      <x:c r="J7" s="143" t="str">
        <x:v>Silverado 1500</x:v>
      </x:c>
      <x:c r="K7" s="143" t="str">
        <x:v>LT (2FL)</x:v>
      </x:c>
      <x:c r="L7" s="143" t="str">
        <x:v>2026 Chevrolet Silverado 1500 LT (2FL)</x:v>
      </x:c>
      <x:c r="M7" s="146" t="n">
        <x:v>4</x:v>
      </x:c>
      <x:c r="N7" s="147" t="n">
        <x:v>49304</x:v>
      </x:c>
      <x:c r="O7" s="143" t="str">
        <x:v>Listed</x:v>
      </x:c>
      <x:c r="P7" s="143" t="str">
        <x:v>VEH-801799A8B8D6</x:v>
      </x:c>
      <x:c r="Q7" s="143" t="str">
        <x:v>ARPI801799A8B8D6B</x:v>
      </x:c>
      <x:c r="R7" s="145" t="n">
        <x:v>1</x:v>
      </x:c>
      <x:c r="S7" s="143" t="str">
        <x:v>Sanitized public reference data</x:v>
      </x:c>
    </x:row>
    <x:row r="8" ht="19" customHeight="1">
      <x:c r="A8" s="143" t="str">
        <x:v>GSA001-20260802-0007</x:v>
      </x:c>
      <x:c r="B8" s="143" t="str">
        <x:v>GSA-001</x:v>
      </x:c>
      <x:c r="C8" s="143" t="str">
        <x:v>Granite Chevrolet of Nashua</x:v>
      </x:c>
      <x:c r="D8" s="144" t="n">
        <x:v>46236</x:v>
      </x:c>
      <x:c r="E8" s="143" t="str">
        <x:v>GSA001-20260802-001</x:v>
      </x:c>
      <x:c r="F8" s="143" t="str">
        <x:v>sanitized_public_inventory_reference</x:v>
      </x:c>
      <x:c r="G8" s="143" t="str">
        <x:v>New</x:v>
      </x:c>
      <x:c r="H8" s="145" t="n">
        <x:v>2026</x:v>
      </x:c>
      <x:c r="I8" s="143" t="str">
        <x:v>Chevrolet</x:v>
      </x:c>
      <x:c r="J8" s="143" t="str">
        <x:v>Traverse</x:v>
      </x:c>
      <x:c r="K8" s="143" t="str">
        <x:v>Z71</x:v>
      </x:c>
      <x:c r="L8" s="143" t="str">
        <x:v>2026 Chevrolet Traverse Z71</x:v>
      </x:c>
      <x:c r="M8" s="146" t="n">
        <x:v>4</x:v>
      </x:c>
      <x:c r="N8" s="147" t="n">
        <x:v>47201</x:v>
      </x:c>
      <x:c r="O8" s="143" t="str">
        <x:v>Listed</x:v>
      </x:c>
      <x:c r="P8" s="143" t="str">
        <x:v>VEH-87F959A06697</x:v>
      </x:c>
      <x:c r="Q8" s="143" t="str">
        <x:v>ARPI87F959A066972</x:v>
      </x:c>
      <x:c r="R8" s="145" t="n">
        <x:v>1</x:v>
      </x:c>
      <x:c r="S8" s="143" t="str">
        <x:v>Sanitized public reference data</x:v>
      </x:c>
    </x:row>
    <x:row r="9" ht="19" customHeight="1">
      <x:c r="A9" s="143" t="str">
        <x:v>GSA001-20260802-0008</x:v>
      </x:c>
      <x:c r="B9" s="143" t="str">
        <x:v>GSA-001</x:v>
      </x:c>
      <x:c r="C9" s="143" t="str">
        <x:v>Granite Chevrolet of Nashua</x:v>
      </x:c>
      <x:c r="D9" s="144" t="n">
        <x:v>46236</x:v>
      </x:c>
      <x:c r="E9" s="143" t="str">
        <x:v>GSA001-20260802-001</x:v>
      </x:c>
      <x:c r="F9" s="143" t="str">
        <x:v>sanitized_public_inventory_reference</x:v>
      </x:c>
      <x:c r="G9" s="143" t="str">
        <x:v>New</x:v>
      </x:c>
      <x:c r="H9" s="145" t="n">
        <x:v>2026</x:v>
      </x:c>
      <x:c r="I9" s="143" t="str">
        <x:v>Chevrolet</x:v>
      </x:c>
      <x:c r="J9" s="143" t="str">
        <x:v>Trax</x:v>
      </x:c>
      <x:c r="K9" s="143" t="str">
        <x:v>LS</x:v>
      </x:c>
      <x:c r="L9" s="143" t="str">
        <x:v>2026 Chevrolet Trax LS</x:v>
      </x:c>
      <x:c r="M9" s="146" t="n">
        <x:v>4</x:v>
      </x:c>
      <x:c r="N9" s="147" t="n">
        <x:v>22716</x:v>
      </x:c>
      <x:c r="O9" s="143" t="str">
        <x:v>Listed</x:v>
      </x:c>
      <x:c r="P9" s="143" t="str">
        <x:v>VEH-5A1AA600D309</x:v>
      </x:c>
      <x:c r="Q9" s="143" t="str">
        <x:v>ARPI5A1AA600D3095</x:v>
      </x:c>
      <x:c r="R9" s="145" t="n">
        <x:v>1</x:v>
      </x:c>
      <x:c r="S9" s="143" t="str">
        <x:v>Sanitized public reference data</x:v>
      </x:c>
    </x:row>
    <x:row r="10" ht="19" customHeight="1">
      <x:c r="A10" s="143" t="str">
        <x:v>GSA001-20260802-0009</x:v>
      </x:c>
      <x:c r="B10" s="143" t="str">
        <x:v>GSA-001</x:v>
      </x:c>
      <x:c r="C10" s="143" t="str">
        <x:v>Granite Chevrolet of Nashua</x:v>
      </x:c>
      <x:c r="D10" s="144" t="n">
        <x:v>46236</x:v>
      </x:c>
      <x:c r="E10" s="143" t="str">
        <x:v>GSA001-20260802-001</x:v>
      </x:c>
      <x:c r="F10" s="143" t="str">
        <x:v>sanitized_public_inventory_reference</x:v>
      </x:c>
      <x:c r="G10" s="143" t="str">
        <x:v>New</x:v>
      </x:c>
      <x:c r="H10" s="145" t="n">
        <x:v>2026</x:v>
      </x:c>
      <x:c r="I10" s="143" t="str">
        <x:v>Chevrolet</x:v>
      </x:c>
      <x:c r="J10" s="143" t="str">
        <x:v>Silverado 1500</x:v>
      </x:c>
      <x:c r="K10" s="143" t="str">
        <x:v>LT</x:v>
      </x:c>
      <x:c r="L10" s="143" t="str">
        <x:v>2026 Chevrolet Silverado 1500 LT</x:v>
      </x:c>
      <x:c r="M10" s="146" t="n">
        <x:v>3</x:v>
      </x:c>
      <x:c r="N10" s="147" t="n">
        <x:v>51557</x:v>
      </x:c>
      <x:c r="O10" s="143" t="str">
        <x:v>Listed</x:v>
      </x:c>
      <x:c r="P10" s="143" t="str">
        <x:v>VEH-F08F2081C0A8</x:v>
      </x:c>
      <x:c r="Q10" s="143" t="str">
        <x:v>ARPIF08F2081C0A86</x:v>
      </x:c>
      <x:c r="R10" s="145" t="n">
        <x:v>1</x:v>
      </x:c>
      <x:c r="S10" s="143" t="str">
        <x:v>Sanitized public reference data</x:v>
      </x:c>
    </x:row>
    <x:row r="11" ht="19" customHeight="1">
      <x:c r="A11" s="143" t="str">
        <x:v>GSA001-20260802-0010</x:v>
      </x:c>
      <x:c r="B11" s="143" t="str">
        <x:v>GSA-001</x:v>
      </x:c>
      <x:c r="C11" s="143" t="str">
        <x:v>Granite Chevrolet of Nashua</x:v>
      </x:c>
      <x:c r="D11" s="144" t="n">
        <x:v>46236</x:v>
      </x:c>
      <x:c r="E11" s="143" t="str">
        <x:v>GSA001-20260802-001</x:v>
      </x:c>
      <x:c r="F11" s="143" t="str">
        <x:v>sanitized_public_inventory_reference</x:v>
      </x:c>
      <x:c r="G11" s="143" t="str">
        <x:v>New</x:v>
      </x:c>
      <x:c r="H11" s="145" t="n">
        <x:v>2026</x:v>
      </x:c>
      <x:c r="I11" s="143" t="str">
        <x:v>Chevrolet</x:v>
      </x:c>
      <x:c r="J11" s="143" t="str">
        <x:v>Silverado 2500 HD</x:v>
      </x:c>
      <x:c r="K11" s="143" t="str">
        <x:v>Custom</x:v>
      </x:c>
      <x:c r="L11" s="143" t="str">
        <x:v>2026 Chevrolet Silverado 2500 HD Custom</x:v>
      </x:c>
      <x:c r="M11" s="146" t="n">
        <x:v>3</x:v>
      </x:c>
      <x:c r="N11" s="147" t="n">
        <x:v>60359</x:v>
      </x:c>
      <x:c r="O11" s="143" t="str">
        <x:v>Listed</x:v>
      </x:c>
      <x:c r="P11" s="143" t="str">
        <x:v>VEH-A5CB4F07C7ED</x:v>
      </x:c>
      <x:c r="Q11" s="143" t="str">
        <x:v>ARPIA5CB4F07C7EDF</x:v>
      </x:c>
      <x:c r="R11" s="145" t="n">
        <x:v>1</x:v>
      </x:c>
      <x:c r="S11" s="143" t="str">
        <x:v>Sanitized public reference data</x:v>
      </x:c>
    </x:row>
    <x:row r="12" ht="19" customHeight="1">
      <x:c r="A12" s="143" t="str">
        <x:v>GSA001-20260802-0011</x:v>
      </x:c>
      <x:c r="B12" s="143" t="str">
        <x:v>GSA-001</x:v>
      </x:c>
      <x:c r="C12" s="143" t="str">
        <x:v>Granite Chevrolet of Nashua</x:v>
      </x:c>
      <x:c r="D12" s="144" t="n">
        <x:v>46236</x:v>
      </x:c>
      <x:c r="E12" s="143" t="str">
        <x:v>GSA001-20260802-001</x:v>
      </x:c>
      <x:c r="F12" s="143" t="str">
        <x:v>sanitized_public_inventory_reference</x:v>
      </x:c>
      <x:c r="G12" s="143" t="str">
        <x:v>New</x:v>
      </x:c>
      <x:c r="H12" s="145" t="n">
        <x:v>2026</x:v>
      </x:c>
      <x:c r="I12" s="143" t="str">
        <x:v>Chevrolet</x:v>
      </x:c>
      <x:c r="J12" s="143" t="str">
        <x:v>Suburban</x:v>
      </x:c>
      <x:c r="K12" s="143" t="str">
        <x:v>LS</x:v>
      </x:c>
      <x:c r="L12" s="143" t="str">
        <x:v>2026 Chevrolet Suburban LS</x:v>
      </x:c>
      <x:c r="M12" s="146" t="n">
        <x:v>3</x:v>
      </x:c>
      <x:c r="N12" s="147" t="n">
        <x:v>70584</x:v>
      </x:c>
      <x:c r="O12" s="143" t="str">
        <x:v>Listed</x:v>
      </x:c>
      <x:c r="P12" s="143" t="str">
        <x:v>VEH-9F0998415EEC</x:v>
      </x:c>
      <x:c r="Q12" s="143" t="str">
        <x:v>ARPI9F0998415EECE</x:v>
      </x:c>
      <x:c r="R12" s="145" t="n">
        <x:v>1</x:v>
      </x:c>
      <x:c r="S12" s="143" t="str">
        <x:v>Sanitized public reference data</x:v>
      </x:c>
    </x:row>
    <x:row r="13" ht="19" customHeight="1">
      <x:c r="A13" s="143" t="str">
        <x:v>GSA001-20260802-0012</x:v>
      </x:c>
      <x:c r="B13" s="143" t="str">
        <x:v>GSA-001</x:v>
      </x:c>
      <x:c r="C13" s="143" t="str">
        <x:v>Granite Chevrolet of Nashua</x:v>
      </x:c>
      <x:c r="D13" s="144" t="n">
        <x:v>46236</x:v>
      </x:c>
      <x:c r="E13" s="143" t="str">
        <x:v>GSA001-20260802-001</x:v>
      </x:c>
      <x:c r="F13" s="143" t="str">
        <x:v>sanitized_public_inventory_reference</x:v>
      </x:c>
      <x:c r="G13" s="143" t="str">
        <x:v>New</x:v>
      </x:c>
      <x:c r="H13" s="145" t="n">
        <x:v>2026</x:v>
      </x:c>
      <x:c r="I13" s="143" t="str">
        <x:v>Chevrolet</x:v>
      </x:c>
      <x:c r="J13" s="143" t="str">
        <x:v>Silverado 1500</x:v>
      </x:c>
      <x:c r="K13" s="143" t="str">
        <x:v>LT (2FL)</x:v>
      </x:c>
      <x:c r="L13" s="143" t="str">
        <x:v>2026 Chevrolet Silverado 1500 LT (2FL)</x:v>
      </x:c>
      <x:c r="M13" s="146" t="n">
        <x:v>4</x:v>
      </x:c>
      <x:c r="N13" s="147" t="n">
        <x:v>48948</x:v>
      </x:c>
      <x:c r="O13" s="143" t="str">
        <x:v>Listed</x:v>
      </x:c>
      <x:c r="P13" s="143" t="str">
        <x:v>VEH-344677498D44</x:v>
      </x:c>
      <x:c r="Q13" s="143" t="str">
        <x:v>ARPI344677498D44E</x:v>
      </x:c>
      <x:c r="R13" s="145" t="n">
        <x:v>1</x:v>
      </x:c>
      <x:c r="S13" s="143" t="str">
        <x:v>Sanitized public reference data</x:v>
      </x:c>
    </x:row>
    <x:row r="14" ht="19" customHeight="1">
      <x:c r="A14" s="143" t="str">
        <x:v>GSA001-20260802-0013</x:v>
      </x:c>
      <x:c r="B14" s="143" t="str">
        <x:v>GSA-001</x:v>
      </x:c>
      <x:c r="C14" s="143" t="str">
        <x:v>Granite Chevrolet of Nashua</x:v>
      </x:c>
      <x:c r="D14" s="144" t="n">
        <x:v>46236</x:v>
      </x:c>
      <x:c r="E14" s="143" t="str">
        <x:v>GSA001-20260802-001</x:v>
      </x:c>
      <x:c r="F14" s="143" t="str">
        <x:v>sanitized_public_inventory_reference</x:v>
      </x:c>
      <x:c r="G14" s="143" t="str">
        <x:v>New</x:v>
      </x:c>
      <x:c r="H14" s="145" t="n">
        <x:v>2026</x:v>
      </x:c>
      <x:c r="I14" s="143" t="str">
        <x:v>Chevrolet</x:v>
      </x:c>
      <x:c r="J14" s="143" t="str">
        <x:v>Traverse</x:v>
      </x:c>
      <x:c r="K14" s="143" t="str">
        <x:v>LT</x:v>
      </x:c>
      <x:c r="L14" s="143" t="str">
        <x:v>2026 Chevrolet Traverse LT</x:v>
      </x:c>
      <x:c r="M14" s="146" t="n">
        <x:v>5</x:v>
      </x:c>
      <x:c r="N14" s="147" t="n">
        <x:v>43425</x:v>
      </x:c>
      <x:c r="O14" s="143" t="str">
        <x:v>Listed</x:v>
      </x:c>
      <x:c r="P14" s="143" t="str">
        <x:v>VEH-AC438AD428F8</x:v>
      </x:c>
      <x:c r="Q14" s="143" t="str">
        <x:v>ARPIAC438AD428F83</x:v>
      </x:c>
      <x:c r="R14" s="145" t="n">
        <x:v>1</x:v>
      </x:c>
      <x:c r="S14" s="143" t="str">
        <x:v>Sanitized public reference data</x:v>
      </x:c>
    </x:row>
    <x:row r="15" ht="19" customHeight="1">
      <x:c r="A15" s="143" t="str">
        <x:v>GSA001-20260802-0014</x:v>
      </x:c>
      <x:c r="B15" s="143" t="str">
        <x:v>GSA-001</x:v>
      </x:c>
      <x:c r="C15" s="143" t="str">
        <x:v>Granite Chevrolet of Nashua</x:v>
      </x:c>
      <x:c r="D15" s="144" t="n">
        <x:v>46236</x:v>
      </x:c>
      <x:c r="E15" s="143" t="str">
        <x:v>GSA001-20260802-001</x:v>
      </x:c>
      <x:c r="F15" s="143" t="str">
        <x:v>sanitized_public_inventory_reference</x:v>
      </x:c>
      <x:c r="G15" s="143" t="str">
        <x:v>New</x:v>
      </x:c>
      <x:c r="H15" s="145" t="n">
        <x:v>2026</x:v>
      </x:c>
      <x:c r="I15" s="143" t="str">
        <x:v>Chevrolet</x:v>
      </x:c>
      <x:c r="J15" s="143" t="str">
        <x:v>Traverse</x:v>
      </x:c>
      <x:c r="K15" s="143" t="str">
        <x:v>LT</x:v>
      </x:c>
      <x:c r="L15" s="143" t="str">
        <x:v>2026 Chevrolet Traverse LT</x:v>
      </x:c>
      <x:c r="M15" s="146" t="n">
        <x:v>3</x:v>
      </x:c>
      <x:c r="N15" s="147" t="n">
        <x:v>41412</x:v>
      </x:c>
      <x:c r="O15" s="143" t="str">
        <x:v>Listed</x:v>
      </x:c>
      <x:c r="P15" s="143" t="str">
        <x:v>VEH-CA4B52CC1417</x:v>
      </x:c>
      <x:c r="Q15" s="143" t="str">
        <x:v>ARPICA4B52CC1417A</x:v>
      </x:c>
      <x:c r="R15" s="145" t="n">
        <x:v>1</x:v>
      </x:c>
      <x:c r="S15" s="143" t="str">
        <x:v>Sanitized public reference data</x:v>
      </x:c>
    </x:row>
    <x:row r="16" ht="19" customHeight="1">
      <x:c r="A16" s="143" t="str">
        <x:v>GSA001-20260802-0015</x:v>
      </x:c>
      <x:c r="B16" s="143" t="str">
        <x:v>GSA-001</x:v>
      </x:c>
      <x:c r="C16" s="143" t="str">
        <x:v>Granite Chevrolet of Nashua</x:v>
      </x:c>
      <x:c r="D16" s="144" t="n">
        <x:v>46236</x:v>
      </x:c>
      <x:c r="E16" s="143" t="str">
        <x:v>GSA001-20260802-001</x:v>
      </x:c>
      <x:c r="F16" s="143" t="str">
        <x:v>sanitized_public_inventory_reference</x:v>
      </x:c>
      <x:c r="G16" s="143" t="str">
        <x:v>New</x:v>
      </x:c>
      <x:c r="H16" s="145" t="n">
        <x:v>2026</x:v>
      </x:c>
      <x:c r="I16" s="143" t="str">
        <x:v>Chevrolet</x:v>
      </x:c>
      <x:c r="J16" s="143" t="str">
        <x:v>Equinox</x:v>
      </x:c>
      <x:c r="K16" s="143" t="str">
        <x:v>LT</x:v>
      </x:c>
      <x:c r="L16" s="143" t="str">
        <x:v>2026 Chevrolet Equinox LT</x:v>
      </x:c>
      <x:c r="M16" s="146" t="n">
        <x:v>4</x:v>
      </x:c>
      <x:c r="N16" s="147" t="n">
        <x:v>34024</x:v>
      </x:c>
      <x:c r="O16" s="143" t="str">
        <x:v>Listed</x:v>
      </x:c>
      <x:c r="P16" s="143" t="str">
        <x:v>VEH-3C851B5E913C</x:v>
      </x:c>
      <x:c r="Q16" s="143" t="str">
        <x:v>ARPI3C851B5E913C5</x:v>
      </x:c>
      <x:c r="R16" s="145" t="n">
        <x:v>1</x:v>
      </x:c>
      <x:c r="S16" s="143" t="str">
        <x:v>Sanitized public reference data</x:v>
      </x:c>
    </x:row>
    <x:row r="17" ht="19" customHeight="1">
      <x:c r="A17" s="143" t="str">
        <x:v>GSA001-20260802-0016</x:v>
      </x:c>
      <x:c r="B17" s="143" t="str">
        <x:v>GSA-001</x:v>
      </x:c>
      <x:c r="C17" s="143" t="str">
        <x:v>Granite Chevrolet of Nashua</x:v>
      </x:c>
      <x:c r="D17" s="144" t="n">
        <x:v>46236</x:v>
      </x:c>
      <x:c r="E17" s="143" t="str">
        <x:v>GSA001-20260802-001</x:v>
      </x:c>
      <x:c r="F17" s="143" t="str">
        <x:v>sanitized_public_inventory_reference</x:v>
      </x:c>
      <x:c r="G17" s="143" t="str">
        <x:v>New</x:v>
      </x:c>
      <x:c r="H17" s="145" t="n">
        <x:v>2026</x:v>
      </x:c>
      <x:c r="I17" s="143" t="str">
        <x:v>Chevrolet</x:v>
      </x:c>
      <x:c r="J17" s="143" t="str">
        <x:v>Silverado 2500 HD</x:v>
      </x:c>
      <x:c r="K17" s="143" t="str">
        <x:v>WT</x:v>
      </x:c>
      <x:c r="L17" s="143" t="str">
        <x:v>2026 Chevrolet Silverado 2500 HD WT</x:v>
      </x:c>
      <x:c r="M17" s="146" t="n">
        <x:v>4</x:v>
      </x:c>
      <x:c r="N17" s="147" t="n">
        <x:v>62521</x:v>
      </x:c>
      <x:c r="O17" s="143" t="str">
        <x:v>Listed</x:v>
      </x:c>
      <x:c r="P17" s="143" t="str">
        <x:v>VEH-C72AA142F1F0</x:v>
      </x:c>
      <x:c r="Q17" s="143" t="str">
        <x:v>ARPIC72AA142F1F01</x:v>
      </x:c>
      <x:c r="R17" s="145" t="n">
        <x:v>1</x:v>
      </x:c>
      <x:c r="S17" s="143" t="str">
        <x:v>Sanitized public reference data</x:v>
      </x:c>
    </x:row>
    <x:row r="18" ht="19" customHeight="1">
      <x:c r="A18" s="143" t="str">
        <x:v>GSA001-20260802-0017</x:v>
      </x:c>
      <x:c r="B18" s="143" t="str">
        <x:v>GSA-001</x:v>
      </x:c>
      <x:c r="C18" s="143" t="str">
        <x:v>Granite Chevrolet of Nashua</x:v>
      </x:c>
      <x:c r="D18" s="144" t="n">
        <x:v>46236</x:v>
      </x:c>
      <x:c r="E18" s="143" t="str">
        <x:v>GSA001-20260802-001</x:v>
      </x:c>
      <x:c r="F18" s="143" t="str">
        <x:v>sanitized_public_inventory_reference</x:v>
      </x:c>
      <x:c r="G18" s="143" t="str">
        <x:v>New</x:v>
      </x:c>
      <x:c r="H18" s="145" t="n">
        <x:v>2026</x:v>
      </x:c>
      <x:c r="I18" s="143" t="str">
        <x:v>Chevrolet</x:v>
      </x:c>
      <x:c r="J18" s="143" t="str">
        <x:v>Silverado 2500 HD</x:v>
      </x:c>
      <x:c r="K18" s="143" t="str">
        <x:v>LTZ</x:v>
      </x:c>
      <x:c r="L18" s="143" t="str">
        <x:v>2026 Chevrolet Silverado 2500 HD LTZ</x:v>
      </x:c>
      <x:c r="M18" s="146" t="n">
        <x:v>4</x:v>
      </x:c>
      <x:c r="N18" s="147" t="n">
        <x:v>77944</x:v>
      </x:c>
      <x:c r="O18" s="143" t="str">
        <x:v>Listed</x:v>
      </x:c>
      <x:c r="P18" s="143" t="str">
        <x:v>VEH-B65EFAD70037</x:v>
      </x:c>
      <x:c r="Q18" s="143" t="str">
        <x:v>ARPIB65EFAD700373</x:v>
      </x:c>
      <x:c r="R18" s="145" t="n">
        <x:v>1</x:v>
      </x:c>
      <x:c r="S18" s="143" t="str">
        <x:v>Sanitized public reference data</x:v>
      </x:c>
    </x:row>
    <x:row r="19" ht="19" customHeight="1">
      <x:c r="A19" s="143" t="str">
        <x:v>GSA001-20260802-0018</x:v>
      </x:c>
      <x:c r="B19" s="143" t="str">
        <x:v>GSA-001</x:v>
      </x:c>
      <x:c r="C19" s="143" t="str">
        <x:v>Granite Chevrolet of Nashua</x:v>
      </x:c>
      <x:c r="D19" s="144" t="n">
        <x:v>46236</x:v>
      </x:c>
      <x:c r="E19" s="143" t="str">
        <x:v>GSA001-20260802-001</x:v>
      </x:c>
      <x:c r="F19" s="143" t="str">
        <x:v>sanitized_public_inventory_reference</x:v>
      </x:c>
      <x:c r="G19" s="143" t="str">
        <x:v>New</x:v>
      </x:c>
      <x:c r="H19" s="145" t="n">
        <x:v>2026</x:v>
      </x:c>
      <x:c r="I19" s="143" t="str">
        <x:v>Chevrolet</x:v>
      </x:c>
      <x:c r="J19" s="143" t="str">
        <x:v>Silverado 1500</x:v>
      </x:c>
      <x:c r="K19" s="143" t="str">
        <x:v>RST</x:v>
      </x:c>
      <x:c r="L19" s="143" t="str">
        <x:v>2026 Chevrolet Silverado 1500 RST</x:v>
      </x:c>
      <x:c r="M19" s="146" t="n">
        <x:v>4</x:v>
      </x:c>
      <x:c r="N19" s="147" t="n">
        <x:v>54113</x:v>
      </x:c>
      <x:c r="O19" s="143" t="str">
        <x:v>Listed</x:v>
      </x:c>
      <x:c r="P19" s="143" t="str">
        <x:v>VEH-B83F9741ED21</x:v>
      </x:c>
      <x:c r="Q19" s="143" t="str">
        <x:v>ARPIB83F9741ED21A</x:v>
      </x:c>
      <x:c r="R19" s="145" t="n">
        <x:v>1</x:v>
      </x:c>
      <x:c r="S19" s="143" t="str">
        <x:v>Sanitized public reference data</x:v>
      </x:c>
    </x:row>
    <x:row r="20" ht="19" customHeight="1">
      <x:c r="A20" s="143" t="str">
        <x:v>GSA001-20260802-0019</x:v>
      </x:c>
      <x:c r="B20" s="143" t="str">
        <x:v>GSA-001</x:v>
      </x:c>
      <x:c r="C20" s="143" t="str">
        <x:v>Granite Chevrolet of Nashua</x:v>
      </x:c>
      <x:c r="D20" s="144" t="n">
        <x:v>46236</x:v>
      </x:c>
      <x:c r="E20" s="143" t="str">
        <x:v>GSA001-20260802-001</x:v>
      </x:c>
      <x:c r="F20" s="143" t="str">
        <x:v>sanitized_public_inventory_reference</x:v>
      </x:c>
      <x:c r="G20" s="143" t="str">
        <x:v>New</x:v>
      </x:c>
      <x:c r="H20" s="145" t="n">
        <x:v>2026</x:v>
      </x:c>
      <x:c r="I20" s="143" t="str">
        <x:v>Chevrolet</x:v>
      </x:c>
      <x:c r="J20" s="143" t="str">
        <x:v>Silverado 1500</x:v>
      </x:c>
      <x:c r="K20" s="143" t="str">
        <x:v>WT</x:v>
      </x:c>
      <x:c r="L20" s="143" t="str">
        <x:v>2026 Chevrolet Silverado 1500 WT</x:v>
      </x:c>
      <x:c r="M20" s="146" t="n">
        <x:v>9</x:v>
      </x:c>
      <x:c r="N20" s="147" t="n">
        <x:v>39546</x:v>
      </x:c>
      <x:c r="O20" s="143" t="str">
        <x:v>Listed</x:v>
      </x:c>
      <x:c r="P20" s="143" t="str">
        <x:v>VEH-AF9A7EAC01A6</x:v>
      </x:c>
      <x:c r="Q20" s="143" t="str">
        <x:v>ARPIAF9A7EAC01A69</x:v>
      </x:c>
      <x:c r="R20" s="145" t="n">
        <x:v>1</x:v>
      </x:c>
      <x:c r="S20" s="143" t="str">
        <x:v>Sanitized public reference data</x:v>
      </x:c>
    </x:row>
    <x:row r="21" ht="19" customHeight="1">
      <x:c r="A21" s="143" t="str">
        <x:v>GSA001-20260802-0020</x:v>
      </x:c>
      <x:c r="B21" s="143" t="str">
        <x:v>GSA-001</x:v>
      </x:c>
      <x:c r="C21" s="143" t="str">
        <x:v>Granite Chevrolet of Nashua</x:v>
      </x:c>
      <x:c r="D21" s="144" t="n">
        <x:v>46236</x:v>
      </x:c>
      <x:c r="E21" s="143" t="str">
        <x:v>GSA001-20260802-001</x:v>
      </x:c>
      <x:c r="F21" s="143" t="str">
        <x:v>sanitized_public_inventory_reference</x:v>
      </x:c>
      <x:c r="G21" s="143" t="str">
        <x:v>New</x:v>
      </x:c>
      <x:c r="H21" s="145" t="n">
        <x:v>2026</x:v>
      </x:c>
      <x:c r="I21" s="143" t="str">
        <x:v>Chevrolet</x:v>
      </x:c>
      <x:c r="J21" s="143" t="str">
        <x:v>Silverado 1500</x:v>
      </x:c>
      <x:c r="K21" s="143" t="str">
        <x:v>LT (2FL)</x:v>
      </x:c>
      <x:c r="L21" s="143" t="str">
        <x:v>2026 Chevrolet Silverado 1500 LT (2FL)</x:v>
      </x:c>
      <x:c r="M21" s="146" t="n">
        <x:v>4</x:v>
      </x:c>
      <x:c r="N21" s="147" t="n">
        <x:v>49304</x:v>
      </x:c>
      <x:c r="O21" s="143" t="str">
        <x:v>Listed</x:v>
      </x:c>
      <x:c r="P21" s="143" t="str">
        <x:v>VEH-368C9BE86198</x:v>
      </x:c>
      <x:c r="Q21" s="143" t="str">
        <x:v>ARPI368C9BE861982</x:v>
      </x:c>
      <x:c r="R21" s="145" t="n">
        <x:v>1</x:v>
      </x:c>
      <x:c r="S21" s="143" t="str">
        <x:v>Sanitized public reference data</x:v>
      </x:c>
    </x:row>
    <x:row r="22" ht="19" customHeight="1">
      <x:c r="A22" s="143" t="str">
        <x:v>GSA001-20260802-0021</x:v>
      </x:c>
      <x:c r="B22" s="143" t="str">
        <x:v>GSA-001</x:v>
      </x:c>
      <x:c r="C22" s="143" t="str">
        <x:v>Granite Chevrolet of Nashua</x:v>
      </x:c>
      <x:c r="D22" s="144" t="n">
        <x:v>46236</x:v>
      </x:c>
      <x:c r="E22" s="143" t="str">
        <x:v>GSA001-20260802-001</x:v>
      </x:c>
      <x:c r="F22" s="143" t="str">
        <x:v>sanitized_public_inventory_reference</x:v>
      </x:c>
      <x:c r="G22" s="143" t="str">
        <x:v>New</x:v>
      </x:c>
      <x:c r="H22" s="145" t="n">
        <x:v>2026</x:v>
      </x:c>
      <x:c r="I22" s="143" t="str">
        <x:v>Chevrolet</x:v>
      </x:c>
      <x:c r="J22" s="143" t="str">
        <x:v>Silverado 2500 HD</x:v>
      </x:c>
      <x:c r="K22" s="143" t="str">
        <x:v>LTZ</x:v>
      </x:c>
      <x:c r="L22" s="143" t="str">
        <x:v>2026 Chevrolet Silverado 2500 HD LTZ</x:v>
      </x:c>
      <x:c r="M22" s="146" t="n">
        <x:v>3</x:v>
      </x:c>
      <x:c r="N22" s="147" t="n">
        <x:v>71330</x:v>
      </x:c>
      <x:c r="O22" s="143" t="str">
        <x:v>Listed</x:v>
      </x:c>
      <x:c r="P22" s="143" t="str">
        <x:v>VEH-AF6C46C51937</x:v>
      </x:c>
      <x:c r="Q22" s="143" t="str">
        <x:v>ARPIAF6C46C51937C</x:v>
      </x:c>
      <x:c r="R22" s="145" t="n">
        <x:v>1</x:v>
      </x:c>
      <x:c r="S22" s="143" t="str">
        <x:v>Sanitized public reference data</x:v>
      </x:c>
    </x:row>
    <x:row r="23" ht="19" customHeight="1">
      <x:c r="A23" s="143" t="str">
        <x:v>GSA001-20260802-0022</x:v>
      </x:c>
      <x:c r="B23" s="143" t="str">
        <x:v>GSA-001</x:v>
      </x:c>
      <x:c r="C23" s="143" t="str">
        <x:v>Granite Chevrolet of Nashua</x:v>
      </x:c>
      <x:c r="D23" s="144" t="n">
        <x:v>46236</x:v>
      </x:c>
      <x:c r="E23" s="143" t="str">
        <x:v>GSA001-20260802-001</x:v>
      </x:c>
      <x:c r="F23" s="143" t="str">
        <x:v>sanitized_public_inventory_reference</x:v>
      </x:c>
      <x:c r="G23" s="143" t="str">
        <x:v>New</x:v>
      </x:c>
      <x:c r="H23" s="145" t="n">
        <x:v>2026</x:v>
      </x:c>
      <x:c r="I23" s="143" t="str">
        <x:v>Chevrolet</x:v>
      </x:c>
      <x:c r="J23" s="143" t="str">
        <x:v>Silverado 1500</x:v>
      </x:c>
      <x:c r="K23" s="143" t="str">
        <x:v>RST</x:v>
      </x:c>
      <x:c r="L23" s="143" t="str">
        <x:v>2026 Chevrolet Silverado 1500 RST</x:v>
      </x:c>
      <x:c r="M23" s="146" t="n">
        <x:v>3</x:v>
      </x:c>
      <x:c r="N23" s="147" t="n">
        <x:v>75264</x:v>
      </x:c>
      <x:c r="O23" s="143" t="str">
        <x:v>Listed</x:v>
      </x:c>
      <x:c r="P23" s="143" t="str">
        <x:v>VEH-DA3F7DAC3FA6</x:v>
      </x:c>
      <x:c r="Q23" s="143" t="str">
        <x:v>ARPIDA3F7DAC3FA6A</x:v>
      </x:c>
      <x:c r="R23" s="145" t="n">
        <x:v>1</x:v>
      </x:c>
      <x:c r="S23" s="143" t="str">
        <x:v>Sanitized public reference data</x:v>
      </x:c>
    </x:row>
    <x:row r="24" ht="19" customHeight="1">
      <x:c r="A24" s="143" t="str">
        <x:v>GSA001-20260802-0023</x:v>
      </x:c>
      <x:c r="B24" s="143" t="str">
        <x:v>GSA-001</x:v>
      </x:c>
      <x:c r="C24" s="143" t="str">
        <x:v>Granite Chevrolet of Nashua</x:v>
      </x:c>
      <x:c r="D24" s="144" t="n">
        <x:v>46236</x:v>
      </x:c>
      <x:c r="E24" s="143" t="str">
        <x:v>GSA001-20260802-001</x:v>
      </x:c>
      <x:c r="F24" s="143" t="str">
        <x:v>sanitized_public_inventory_reference</x:v>
      </x:c>
      <x:c r="G24" s="143" t="str">
        <x:v>New</x:v>
      </x:c>
      <x:c r="H24" s="145" t="n">
        <x:v>2026</x:v>
      </x:c>
      <x:c r="I24" s="143" t="str">
        <x:v>Chevrolet</x:v>
      </x:c>
      <x:c r="J24" s="143" t="str">
        <x:v>Traverse</x:v>
      </x:c>
      <x:c r="K24" s="143" t="str">
        <x:v>RS</x:v>
      </x:c>
      <x:c r="L24" s="143" t="str">
        <x:v>2026 Chevrolet Traverse RS</x:v>
      </x:c>
      <x:c r="M24" s="146" t="n">
        <x:v>4</x:v>
      </x:c>
      <x:c r="N24" s="147" t="n">
        <x:v>56625</x:v>
      </x:c>
      <x:c r="O24" s="143" t="str">
        <x:v>Listed</x:v>
      </x:c>
      <x:c r="P24" s="143" t="str">
        <x:v>VEH-415EA46E6BC1</x:v>
      </x:c>
      <x:c r="Q24" s="143" t="str">
        <x:v>ARPI415EA46E6BC1B</x:v>
      </x:c>
      <x:c r="R24" s="145" t="n">
        <x:v>1</x:v>
      </x:c>
      <x:c r="S24" s="143" t="str">
        <x:v>Sanitized public reference data</x:v>
      </x:c>
    </x:row>
    <x:row r="25" ht="19" customHeight="1">
      <x:c r="A25" s="143" t="str">
        <x:v>GSA001-20260802-0024</x:v>
      </x:c>
      <x:c r="B25" s="143" t="str">
        <x:v>GSA-001</x:v>
      </x:c>
      <x:c r="C25" s="143" t="str">
        <x:v>Granite Chevrolet of Nashua</x:v>
      </x:c>
      <x:c r="D25" s="144" t="n">
        <x:v>46236</x:v>
      </x:c>
      <x:c r="E25" s="143" t="str">
        <x:v>GSA001-20260802-001</x:v>
      </x:c>
      <x:c r="F25" s="143" t="str">
        <x:v>sanitized_public_inventory_reference</x:v>
      </x:c>
      <x:c r="G25" s="143" t="str">
        <x:v>New</x:v>
      </x:c>
      <x:c r="H25" s="145" t="n">
        <x:v>2026</x:v>
      </x:c>
      <x:c r="I25" s="143" t="str">
        <x:v>Chevrolet</x:v>
      </x:c>
      <x:c r="J25" s="143" t="str">
        <x:v>Silverado 1500</x:v>
      </x:c>
      <x:c r="K25" s="143" t="str">
        <x:v>LT (2FL)</x:v>
      </x:c>
      <x:c r="L25" s="143" t="str">
        <x:v>2026 Chevrolet Silverado 1500 LT (2FL)</x:v>
      </x:c>
      <x:c r="M25" s="146" t="n">
        <x:v>4</x:v>
      </x:c>
      <x:c r="N25" s="147" t="n">
        <x:v>48580</x:v>
      </x:c>
      <x:c r="O25" s="143" t="str">
        <x:v>Listed</x:v>
      </x:c>
      <x:c r="P25" s="143" t="str">
        <x:v>VEH-2598DCADABD4</x:v>
      </x:c>
      <x:c r="Q25" s="143" t="str">
        <x:v>ARPI2598DCADABD44</x:v>
      </x:c>
      <x:c r="R25" s="145" t="n">
        <x:v>1</x:v>
      </x:c>
      <x:c r="S25" s="143" t="str">
        <x:v>Sanitized public reference data</x:v>
      </x:c>
    </x:row>
    <x:row r="26" ht="19" customHeight="1">
      <x:c r="A26" s="143" t="str">
        <x:v>GSA001-20260802-0025</x:v>
      </x:c>
      <x:c r="B26" s="143" t="str">
        <x:v>GSA-001</x:v>
      </x:c>
      <x:c r="C26" s="143" t="str">
        <x:v>Granite Chevrolet of Nashua</x:v>
      </x:c>
      <x:c r="D26" s="144" t="n">
        <x:v>46236</x:v>
      </x:c>
      <x:c r="E26" s="143" t="str">
        <x:v>GSA001-20260802-001</x:v>
      </x:c>
      <x:c r="F26" s="143" t="str">
        <x:v>sanitized_public_inventory_reference</x:v>
      </x:c>
      <x:c r="G26" s="143" t="str">
        <x:v>New</x:v>
      </x:c>
      <x:c r="H26" s="145" t="n">
        <x:v>2026</x:v>
      </x:c>
      <x:c r="I26" s="143" t="str">
        <x:v>Chevrolet</x:v>
      </x:c>
      <x:c r="J26" s="143" t="str">
        <x:v>Tahoe</x:v>
      </x:c>
      <x:c r="K26" s="143" t="str">
        <x:v>Z71</x:v>
      </x:c>
      <x:c r="L26" s="143" t="str">
        <x:v>2026 Chevrolet Tahoe Z71</x:v>
      </x:c>
      <x:c r="M26" s="146" t="n">
        <x:v>3</x:v>
      </x:c>
      <x:c r="N26" s="147" t="n">
        <x:v>78516</x:v>
      </x:c>
      <x:c r="O26" s="143" t="str">
        <x:v>Listed</x:v>
      </x:c>
      <x:c r="P26" s="143" t="str">
        <x:v>VEH-EEB1C66B57AD</x:v>
      </x:c>
      <x:c r="Q26" s="143" t="str">
        <x:v>ARPIEEB1C66B57ADC</x:v>
      </x:c>
      <x:c r="R26" s="145" t="n">
        <x:v>1</x:v>
      </x:c>
      <x:c r="S26" s="143" t="str">
        <x:v>Sanitized public reference data</x:v>
      </x:c>
    </x:row>
    <x:row r="27" ht="19" customHeight="1">
      <x:c r="A27" s="143" t="str">
        <x:v>GSA001-20260802-0026</x:v>
      </x:c>
      <x:c r="B27" s="143" t="str">
        <x:v>GSA-001</x:v>
      </x:c>
      <x:c r="C27" s="143" t="str">
        <x:v>Granite Chevrolet of Nashua</x:v>
      </x:c>
      <x:c r="D27" s="144" t="n">
        <x:v>46236</x:v>
      </x:c>
      <x:c r="E27" s="143" t="str">
        <x:v>GSA001-20260802-001</x:v>
      </x:c>
      <x:c r="F27" s="143" t="str">
        <x:v>sanitized_public_inventory_reference</x:v>
      </x:c>
      <x:c r="G27" s="143" t="str">
        <x:v>New</x:v>
      </x:c>
      <x:c r="H27" s="145" t="n">
        <x:v>2026</x:v>
      </x:c>
      <x:c r="I27" s="143" t="str">
        <x:v>Chevrolet</x:v>
      </x:c>
      <x:c r="J27" s="143" t="str">
        <x:v>Silverado 1500</x:v>
      </x:c>
      <x:c r="K27" s="143" t="str">
        <x:v>WT</x:v>
      </x:c>
      <x:c r="L27" s="143" t="str">
        <x:v>2026 Chevrolet Silverado 1500 WT</x:v>
      </x:c>
      <x:c r="M27" s="146" t="n">
        <x:v>4</x:v>
      </x:c>
      <x:c r="N27" s="147" t="n">
        <x:v>39546</x:v>
      </x:c>
      <x:c r="O27" s="143" t="str">
        <x:v>Listed</x:v>
      </x:c>
      <x:c r="P27" s="143" t="str">
        <x:v>VEH-7EE65A5E8F10</x:v>
      </x:c>
      <x:c r="Q27" s="143" t="str">
        <x:v>ARPI7EE65A5E8F105</x:v>
      </x:c>
      <x:c r="R27" s="145" t="n">
        <x:v>1</x:v>
      </x:c>
      <x:c r="S27" s="143" t="str">
        <x:v>Sanitized public reference data</x:v>
      </x:c>
    </x:row>
    <x:row r="28" ht="19" customHeight="1">
      <x:c r="A28" s="143" t="str">
        <x:v>GSA001-20260802-0027</x:v>
      </x:c>
      <x:c r="B28" s="143" t="str">
        <x:v>GSA-001</x:v>
      </x:c>
      <x:c r="C28" s="143" t="str">
        <x:v>Granite Chevrolet of Nashua</x:v>
      </x:c>
      <x:c r="D28" s="144" t="n">
        <x:v>46236</x:v>
      </x:c>
      <x:c r="E28" s="143" t="str">
        <x:v>GSA001-20260802-001</x:v>
      </x:c>
      <x:c r="F28" s="143" t="str">
        <x:v>sanitized_public_inventory_reference</x:v>
      </x:c>
      <x:c r="G28" s="143" t="str">
        <x:v>New</x:v>
      </x:c>
      <x:c r="H28" s="145" t="n">
        <x:v>2026</x:v>
      </x:c>
      <x:c r="I28" s="143" t="str">
        <x:v>Chevrolet</x:v>
      </x:c>
      <x:c r="J28" s="143" t="str">
        <x:v>Traverse</x:v>
      </x:c>
      <x:c r="K28" s="143" t="str">
        <x:v>LT</x:v>
      </x:c>
      <x:c r="L28" s="143" t="str">
        <x:v>2026 Chevrolet Traverse LT</x:v>
      </x:c>
      <x:c r="M28" s="146" t="n">
        <x:v>4</x:v>
      </x:c>
      <x:c r="N28" s="147" t="n">
        <x:v>41412</x:v>
      </x:c>
      <x:c r="O28" s="143" t="str">
        <x:v>Listed</x:v>
      </x:c>
      <x:c r="P28" s="143" t="str">
        <x:v>VEH-D7ABB852F9F2</x:v>
      </x:c>
      <x:c r="Q28" s="143" t="str">
        <x:v>ARPID7ABB852F9F2A</x:v>
      </x:c>
      <x:c r="R28" s="145" t="n">
        <x:v>1</x:v>
      </x:c>
      <x:c r="S28" s="143" t="str">
        <x:v>Sanitized public reference data</x:v>
      </x:c>
    </x:row>
    <x:row r="29" ht="19" customHeight="1">
      <x:c r="A29" s="143" t="str">
        <x:v>GSA001-20260802-0028</x:v>
      </x:c>
      <x:c r="B29" s="143" t="str">
        <x:v>GSA-001</x:v>
      </x:c>
      <x:c r="C29" s="143" t="str">
        <x:v>Granite Chevrolet of Nashua</x:v>
      </x:c>
      <x:c r="D29" s="144" t="n">
        <x:v>46236</x:v>
      </x:c>
      <x:c r="E29" s="143" t="str">
        <x:v>GSA001-20260802-001</x:v>
      </x:c>
      <x:c r="F29" s="143" t="str">
        <x:v>sanitized_public_inventory_reference</x:v>
      </x:c>
      <x:c r="G29" s="143" t="str">
        <x:v>New</x:v>
      </x:c>
      <x:c r="H29" s="145" t="n">
        <x:v>2026</x:v>
      </x:c>
      <x:c r="I29" s="143" t="str">
        <x:v>Chevrolet</x:v>
      </x:c>
      <x:c r="J29" s="143" t="str">
        <x:v>Express Cutaway 3500</x:v>
      </x:c>
      <x:c r="K29" s="143" t="str">
        <x:v>1WT</x:v>
      </x:c>
      <x:c r="L29" s="143" t="str">
        <x:v>2026 Chevrolet Express Cutaway 3500 1WT</x:v>
      </x:c>
      <x:c r="M29" s="146" t="n">
        <x:v>3</x:v>
      </x:c>
      <x:c r="N29" s="147" t="n">
        <x:v>44939</x:v>
      </x:c>
      <x:c r="O29" s="143" t="str">
        <x:v>Listed</x:v>
      </x:c>
      <x:c r="P29" s="143" t="str">
        <x:v>VEH-1E13A3B1F4AD</x:v>
      </x:c>
      <x:c r="Q29" s="143" t="str">
        <x:v>ARPI1E13A3B1F4ADB</x:v>
      </x:c>
      <x:c r="R29" s="145" t="n">
        <x:v>1</x:v>
      </x:c>
      <x:c r="S29" s="143" t="str">
        <x:v>Sanitized public reference data</x:v>
      </x:c>
    </x:row>
    <x:row r="30" ht="19" customHeight="1">
      <x:c r="A30" s="143" t="str">
        <x:v>GSA001-20260802-0029</x:v>
      </x:c>
      <x:c r="B30" s="143" t="str">
        <x:v>GSA-001</x:v>
      </x:c>
      <x:c r="C30" s="143" t="str">
        <x:v>Granite Chevrolet of Nashua</x:v>
      </x:c>
      <x:c r="D30" s="144" t="n">
        <x:v>46236</x:v>
      </x:c>
      <x:c r="E30" s="143" t="str">
        <x:v>GSA001-20260802-001</x:v>
      </x:c>
      <x:c r="F30" s="143" t="str">
        <x:v>sanitized_public_inventory_reference</x:v>
      </x:c>
      <x:c r="G30" s="143" t="str">
        <x:v>New</x:v>
      </x:c>
      <x:c r="H30" s="145" t="n">
        <x:v>2026</x:v>
      </x:c>
      <x:c r="I30" s="143" t="str">
        <x:v>Chevrolet</x:v>
      </x:c>
      <x:c r="J30" s="143" t="str">
        <x:v>Silverado 3500 HD Chassis Cab</x:v>
      </x:c>
      <x:c r="K30" s="143" t="str">
        <x:v>Work Truck</x:v>
      </x:c>
      <x:c r="L30" s="143" t="str">
        <x:v>2026 Chevrolet Silverado 3500 HD Chassis Cab Work Truck</x:v>
      </x:c>
      <x:c r="M30" s="146" t="n">
        <x:v>4</x:v>
      </x:c>
      <x:c r="N30" s="147" t="n">
        <x:v>64498</x:v>
      </x:c>
      <x:c r="O30" s="143" t="str">
        <x:v>Listed</x:v>
      </x:c>
      <x:c r="P30" s="143" t="str">
        <x:v>VEH-DA7B795FA058</x:v>
      </x:c>
      <x:c r="Q30" s="143" t="str">
        <x:v>ARPIDA7B795FA058F</x:v>
      </x:c>
      <x:c r="R30" s="145" t="n">
        <x:v>1</x:v>
      </x:c>
      <x:c r="S30" s="143" t="str">
        <x:v>Sanitized public reference data</x:v>
      </x:c>
    </x:row>
    <x:row r="31" ht="19" customHeight="1">
      <x:c r="A31" s="143" t="str">
        <x:v>GSA001-20260802-0030</x:v>
      </x:c>
      <x:c r="B31" s="143" t="str">
        <x:v>GSA-001</x:v>
      </x:c>
      <x:c r="C31" s="143" t="str">
        <x:v>Granite Chevrolet of Nashua</x:v>
      </x:c>
      <x:c r="D31" s="144" t="n">
        <x:v>46236</x:v>
      </x:c>
      <x:c r="E31" s="143" t="str">
        <x:v>GSA001-20260802-001</x:v>
      </x:c>
      <x:c r="F31" s="143" t="str">
        <x:v>sanitized_public_inventory_reference</x:v>
      </x:c>
      <x:c r="G31" s="143" t="str">
        <x:v>New</x:v>
      </x:c>
      <x:c r="H31" s="145" t="n">
        <x:v>2026</x:v>
      </x:c>
      <x:c r="I31" s="143" t="str">
        <x:v>Chevrolet</x:v>
      </x:c>
      <x:c r="J31" s="143" t="str">
        <x:v>Tahoe</x:v>
      </x:c>
      <x:c r="K31" s="143" t="str">
        <x:v>LS</x:v>
      </x:c>
      <x:c r="L31" s="143" t="str">
        <x:v>2026 Chevrolet Tahoe LS</x:v>
      </x:c>
      <x:c r="M31" s="146" t="n">
        <x:v>4</x:v>
      </x:c>
      <x:c r="N31" s="147" t="n">
        <x:v>61586</x:v>
      </x:c>
      <x:c r="O31" s="143" t="str">
        <x:v>Listed</x:v>
      </x:c>
      <x:c r="P31" s="143" t="str">
        <x:v>VEH-F45FA6DD0B2B</x:v>
      </x:c>
      <x:c r="Q31" s="143" t="str">
        <x:v>ARPIF45FA6DD0B2B7</x:v>
      </x:c>
      <x:c r="R31" s="145" t="n">
        <x:v>1</x:v>
      </x:c>
      <x:c r="S31" s="143" t="str">
        <x:v>Sanitized public reference data</x:v>
      </x:c>
    </x:row>
    <x:row r="32" ht="19" customHeight="1">
      <x:c r="A32" s="143" t="str">
        <x:v>GSA001-20260802-0031</x:v>
      </x:c>
      <x:c r="B32" s="143" t="str">
        <x:v>GSA-001</x:v>
      </x:c>
      <x:c r="C32" s="143" t="str">
        <x:v>Granite Chevrolet of Nashua</x:v>
      </x:c>
      <x:c r="D32" s="144" t="n">
        <x:v>46236</x:v>
      </x:c>
      <x:c r="E32" s="143" t="str">
        <x:v>GSA001-20260802-001</x:v>
      </x:c>
      <x:c r="F32" s="143" t="str">
        <x:v>sanitized_public_inventory_reference</x:v>
      </x:c>
      <x:c r="G32" s="143" t="str">
        <x:v>New</x:v>
      </x:c>
      <x:c r="H32" s="145" t="n">
        <x:v>2026</x:v>
      </x:c>
      <x:c r="I32" s="143" t="str">
        <x:v>Chevrolet</x:v>
      </x:c>
      <x:c r="J32" s="143" t="str">
        <x:v>Silverado 2500 HD</x:v>
      </x:c>
      <x:c r="K32" s="143" t="str">
        <x:v>LT</x:v>
      </x:c>
      <x:c r="L32" s="143" t="str">
        <x:v>2026 Chevrolet Silverado 2500 HD LT</x:v>
      </x:c>
      <x:c r="M32" s="146" t="n">
        <x:v>4</x:v>
      </x:c>
      <x:c r="N32" s="147" t="n">
        <x:v>64058</x:v>
      </x:c>
      <x:c r="O32" s="143" t="str">
        <x:v>Listed</x:v>
      </x:c>
      <x:c r="P32" s="143" t="str">
        <x:v>VEH-E27AC5C3CA6D</x:v>
      </x:c>
      <x:c r="Q32" s="143" t="str">
        <x:v>ARPIE27AC5C3CA6D2</x:v>
      </x:c>
      <x:c r="R32" s="145" t="n">
        <x:v>1</x:v>
      </x:c>
      <x:c r="S32" s="143" t="str">
        <x:v>Sanitized public reference data</x:v>
      </x:c>
    </x:row>
    <x:row r="33" ht="19" customHeight="1">
      <x:c r="A33" s="143" t="str">
        <x:v>GSA001-20260802-0032</x:v>
      </x:c>
      <x:c r="B33" s="143" t="str">
        <x:v>GSA-001</x:v>
      </x:c>
      <x:c r="C33" s="143" t="str">
        <x:v>Granite Chevrolet of Nashua</x:v>
      </x:c>
      <x:c r="D33" s="144" t="n">
        <x:v>46236</x:v>
      </x:c>
      <x:c r="E33" s="143" t="str">
        <x:v>GSA001-20260802-001</x:v>
      </x:c>
      <x:c r="F33" s="143" t="str">
        <x:v>sanitized_public_inventory_reference</x:v>
      </x:c>
      <x:c r="G33" s="143" t="str">
        <x:v>New</x:v>
      </x:c>
      <x:c r="H33" s="145" t="n">
        <x:v>2026</x:v>
      </x:c>
      <x:c r="I33" s="143" t="str">
        <x:v>Chevrolet</x:v>
      </x:c>
      <x:c r="J33" s="143" t="str">
        <x:v>Tahoe</x:v>
      </x:c>
      <x:c r="K33" s="143" t="str">
        <x:v>High Country</x:v>
      </x:c>
      <x:c r="L33" s="143" t="str">
        <x:v>2026 Chevrolet Tahoe High Country</x:v>
      </x:c>
      <x:c r="M33" s="146" t="n">
        <x:v>4</x:v>
      </x:c>
      <x:c r="N33" s="147" t="n">
        <x:v>89426</x:v>
      </x:c>
      <x:c r="O33" s="143" t="str">
        <x:v>Listed</x:v>
      </x:c>
      <x:c r="P33" s="143" t="str">
        <x:v>VEH-78A77FF58BC6</x:v>
      </x:c>
      <x:c r="Q33" s="143" t="str">
        <x:v>ARPI78A77FF58BC6D</x:v>
      </x:c>
      <x:c r="R33" s="145" t="n">
        <x:v>1</x:v>
      </x:c>
      <x:c r="S33" s="143" t="str">
        <x:v>Sanitized public reference data</x:v>
      </x:c>
    </x:row>
    <x:row r="34" ht="19" customHeight="1">
      <x:c r="A34" s="143" t="str">
        <x:v>GSA001-20260802-0033</x:v>
      </x:c>
      <x:c r="B34" s="143" t="str">
        <x:v>GSA-001</x:v>
      </x:c>
      <x:c r="C34" s="143" t="str">
        <x:v>Granite Chevrolet of Nashua</x:v>
      </x:c>
      <x:c r="D34" s="144" t="n">
        <x:v>46236</x:v>
      </x:c>
      <x:c r="E34" s="143" t="str">
        <x:v>GSA001-20260802-001</x:v>
      </x:c>
      <x:c r="F34" s="143" t="str">
        <x:v>sanitized_public_inventory_reference</x:v>
      </x:c>
      <x:c r="G34" s="143" t="str">
        <x:v>New</x:v>
      </x:c>
      <x:c r="H34" s="145" t="n">
        <x:v>2026</x:v>
      </x:c>
      <x:c r="I34" s="143" t="str">
        <x:v>Chevrolet</x:v>
      </x:c>
      <x:c r="J34" s="143" t="str">
        <x:v>Silverado 2500 HD</x:v>
      </x:c>
      <x:c r="K34" s="143" t="str">
        <x:v>High Country</x:v>
      </x:c>
      <x:c r="L34" s="143" t="str">
        <x:v>2026 Chevrolet Silverado 2500 HD High Country</x:v>
      </x:c>
      <x:c r="M34" s="146" t="n">
        <x:v>4</x:v>
      </x:c>
      <x:c r="N34" s="147" t="n">
        <x:v>84438</x:v>
      </x:c>
      <x:c r="O34" s="143" t="str">
        <x:v>Listed</x:v>
      </x:c>
      <x:c r="P34" s="143" t="str">
        <x:v>VEH-DCE2DDC64BAC</x:v>
      </x:c>
      <x:c r="Q34" s="143" t="str">
        <x:v>ARPIDCE2DDC64BAC5</x:v>
      </x:c>
      <x:c r="R34" s="145" t="n">
        <x:v>1</x:v>
      </x:c>
      <x:c r="S34" s="143" t="str">
        <x:v>Sanitized public reference data</x:v>
      </x:c>
    </x:row>
    <x:row r="35" ht="19" customHeight="1">
      <x:c r="A35" s="143" t="str">
        <x:v>GSA001-20260802-0034</x:v>
      </x:c>
      <x:c r="B35" s="143" t="str">
        <x:v>GSA-001</x:v>
      </x:c>
      <x:c r="C35" s="143" t="str">
        <x:v>Granite Chevrolet of Nashua</x:v>
      </x:c>
      <x:c r="D35" s="144" t="n">
        <x:v>46236</x:v>
      </x:c>
      <x:c r="E35" s="143" t="str">
        <x:v>GSA001-20260802-001</x:v>
      </x:c>
      <x:c r="F35" s="143" t="str">
        <x:v>sanitized_public_inventory_reference</x:v>
      </x:c>
      <x:c r="G35" s="143" t="str">
        <x:v>New</x:v>
      </x:c>
      <x:c r="H35" s="145" t="n">
        <x:v>2026</x:v>
      </x:c>
      <x:c r="I35" s="143" t="str">
        <x:v>Chevrolet</x:v>
      </x:c>
      <x:c r="J35" s="143" t="str">
        <x:v>Silverado 2500 HD</x:v>
      </x:c>
      <x:c r="K35" s="143" t="str">
        <x:v>LT</x:v>
      </x:c>
      <x:c r="L35" s="143" t="str">
        <x:v>2026 Chevrolet Silverado 2500 HD LT</x:v>
      </x:c>
      <x:c r="M35" s="146" t="n">
        <x:v>4</x:v>
      </x:c>
      <x:c r="N35" s="147" t="n">
        <x:v>64067</x:v>
      </x:c>
      <x:c r="O35" s="143" t="str">
        <x:v>Listed</x:v>
      </x:c>
      <x:c r="P35" s="143" t="str">
        <x:v>VEH-9E22D1F40D98</x:v>
      </x:c>
      <x:c r="Q35" s="143" t="str">
        <x:v>ARPI9E22D1F40D98E</x:v>
      </x:c>
      <x:c r="R35" s="145" t="n">
        <x:v>1</x:v>
      </x:c>
      <x:c r="S35" s="143" t="str">
        <x:v>Sanitized public reference data</x:v>
      </x:c>
    </x:row>
    <x:row r="36" ht="19" customHeight="1">
      <x:c r="A36" s="143" t="str">
        <x:v>GSA001-20260802-0035</x:v>
      </x:c>
      <x:c r="B36" s="143" t="str">
        <x:v>GSA-001</x:v>
      </x:c>
      <x:c r="C36" s="143" t="str">
        <x:v>Granite Chevrolet of Nashua</x:v>
      </x:c>
      <x:c r="D36" s="144" t="n">
        <x:v>46236</x:v>
      </x:c>
      <x:c r="E36" s="143" t="str">
        <x:v>GSA001-20260802-001</x:v>
      </x:c>
      <x:c r="F36" s="143" t="str">
        <x:v>sanitized_public_inventory_reference</x:v>
      </x:c>
      <x:c r="G36" s="143" t="str">
        <x:v>New</x:v>
      </x:c>
      <x:c r="H36" s="145" t="n">
        <x:v>2026</x:v>
      </x:c>
      <x:c r="I36" s="143" t="str">
        <x:v>Chevrolet</x:v>
      </x:c>
      <x:c r="J36" s="143" t="str">
        <x:v>Silverado 3500 HD Chassis Cab</x:v>
      </x:c>
      <x:c r="K36" s="143" t="str">
        <x:v>Work Truck</x:v>
      </x:c>
      <x:c r="L36" s="143" t="str">
        <x:v>2026 Chevrolet Silverado 3500 HD Chassis Cab Work Truck</x:v>
      </x:c>
      <x:c r="M36" s="146" t="n">
        <x:v>4</x:v>
      </x:c>
      <x:c r="N36" s="147" t="n">
        <x:v>68412</x:v>
      </x:c>
      <x:c r="O36" s="143" t="str">
        <x:v>Listed</x:v>
      </x:c>
      <x:c r="P36" s="143" t="str">
        <x:v>VEH-2E4FA2A94BFA</x:v>
      </x:c>
      <x:c r="Q36" s="143" t="str">
        <x:v>ARPI2E4FA2A94BFA1</x:v>
      </x:c>
      <x:c r="R36" s="145" t="n">
        <x:v>1</x:v>
      </x:c>
      <x:c r="S36" s="143" t="str">
        <x:v>Sanitized public reference data</x:v>
      </x:c>
    </x:row>
    <x:row r="37" ht="19" customHeight="1">
      <x:c r="A37" s="143" t="str">
        <x:v>GSA001-20260802-0036</x:v>
      </x:c>
      <x:c r="B37" s="143" t="str">
        <x:v>GSA-001</x:v>
      </x:c>
      <x:c r="C37" s="143" t="str">
        <x:v>Granite Chevrolet of Nashua</x:v>
      </x:c>
      <x:c r="D37" s="144" t="n">
        <x:v>46236</x:v>
      </x:c>
      <x:c r="E37" s="143" t="str">
        <x:v>GSA001-20260802-001</x:v>
      </x:c>
      <x:c r="F37" s="143" t="str">
        <x:v>sanitized_public_inventory_reference</x:v>
      </x:c>
      <x:c r="G37" s="143" t="str">
        <x:v>New</x:v>
      </x:c>
      <x:c r="H37" s="145" t="n">
        <x:v>2026</x:v>
      </x:c>
      <x:c r="I37" s="143" t="str">
        <x:v>Chevrolet</x:v>
      </x:c>
      <x:c r="J37" s="143" t="str">
        <x:v>Silverado 1500</x:v>
      </x:c>
      <x:c r="K37" s="143" t="str">
        <x:v>High Country</x:v>
      </x:c>
      <x:c r="L37" s="143" t="str">
        <x:v>2026 Chevrolet Silverado 1500 High Country</x:v>
      </x:c>
      <x:c r="M37" s="146" t="n">
        <x:v>4</x:v>
      </x:c>
      <x:c r="N37" s="147" t="n">
        <x:v>69838</x:v>
      </x:c>
      <x:c r="O37" s="143" t="str">
        <x:v>Listed</x:v>
      </x:c>
      <x:c r="P37" s="143" t="str">
        <x:v>VEH-1C35E2637D37</x:v>
      </x:c>
      <x:c r="Q37" s="143" t="str">
        <x:v>ARPI1C35E2637D37D</x:v>
      </x:c>
      <x:c r="R37" s="145" t="n">
        <x:v>1</x:v>
      </x:c>
      <x:c r="S37" s="143" t="str">
        <x:v>Sanitized public reference data</x:v>
      </x:c>
    </x:row>
    <x:row r="38" ht="19" customHeight="1">
      <x:c r="A38" s="143" t="str">
        <x:v>GSA001-20260802-0037</x:v>
      </x:c>
      <x:c r="B38" s="143" t="str">
        <x:v>GSA-001</x:v>
      </x:c>
      <x:c r="C38" s="143" t="str">
        <x:v>Granite Chevrolet of Nashua</x:v>
      </x:c>
      <x:c r="D38" s="144" t="n">
        <x:v>46236</x:v>
      </x:c>
      <x:c r="E38" s="143" t="str">
        <x:v>GSA001-20260802-001</x:v>
      </x:c>
      <x:c r="F38" s="143" t="str">
        <x:v>sanitized_public_inventory_reference</x:v>
      </x:c>
      <x:c r="G38" s="143" t="str">
        <x:v>New</x:v>
      </x:c>
      <x:c r="H38" s="145" t="n">
        <x:v>2026</x:v>
      </x:c>
      <x:c r="I38" s="143" t="str">
        <x:v>Chevrolet</x:v>
      </x:c>
      <x:c r="J38" s="143" t="str">
        <x:v>Silverado 2500 HD</x:v>
      </x:c>
      <x:c r="K38" s="143" t="str">
        <x:v>LT</x:v>
      </x:c>
      <x:c r="L38" s="143" t="str">
        <x:v>2026 Chevrolet Silverado 2500 HD LT</x:v>
      </x:c>
      <x:c r="M38" s="146" t="n">
        <x:v>4</x:v>
      </x:c>
      <x:c r="N38" s="147" t="n">
        <x:v>61811</x:v>
      </x:c>
      <x:c r="O38" s="143" t="str">
        <x:v>Listed</x:v>
      </x:c>
      <x:c r="P38" s="143" t="str">
        <x:v>VEH-35996DE41698</x:v>
      </x:c>
      <x:c r="Q38" s="143" t="str">
        <x:v>ARPI35996DE416987</x:v>
      </x:c>
      <x:c r="R38" s="145" t="n">
        <x:v>1</x:v>
      </x:c>
      <x:c r="S38" s="143" t="str">
        <x:v>Sanitized public reference data</x:v>
      </x:c>
    </x:row>
    <x:row r="39" ht="19" customHeight="1">
      <x:c r="A39" s="143" t="str">
        <x:v>GSA001-20260802-0038</x:v>
      </x:c>
      <x:c r="B39" s="143" t="str">
        <x:v>GSA-001</x:v>
      </x:c>
      <x:c r="C39" s="143" t="str">
        <x:v>Granite Chevrolet of Nashua</x:v>
      </x:c>
      <x:c r="D39" s="144" t="n">
        <x:v>46236</x:v>
      </x:c>
      <x:c r="E39" s="143" t="str">
        <x:v>GSA001-20260802-001</x:v>
      </x:c>
      <x:c r="F39" s="143" t="str">
        <x:v>sanitized_public_inventory_reference</x:v>
      </x:c>
      <x:c r="G39" s="143" t="str">
        <x:v>New</x:v>
      </x:c>
      <x:c r="H39" s="145" t="n">
        <x:v>2026</x:v>
      </x:c>
      <x:c r="I39" s="143" t="str">
        <x:v>Chevrolet</x:v>
      </x:c>
      <x:c r="J39" s="143" t="str">
        <x:v>Tahoe</x:v>
      </x:c>
      <x:c r="K39" s="143" t="str">
        <x:v>Premier</x:v>
      </x:c>
      <x:c r="L39" s="143" t="str">
        <x:v>2026 Chevrolet Tahoe Premier</x:v>
      </x:c>
      <x:c r="M39" s="146" t="n">
        <x:v>4</x:v>
      </x:c>
      <x:c r="N39" s="147" t="n">
        <x:v>77499</x:v>
      </x:c>
      <x:c r="O39" s="143" t="str">
        <x:v>Listed</x:v>
      </x:c>
      <x:c r="P39" s="143" t="str">
        <x:v>VEH-349C55E549B8</x:v>
      </x:c>
      <x:c r="Q39" s="143" t="str">
        <x:v>ARPI349C55E549B8A</x:v>
      </x:c>
      <x:c r="R39" s="145" t="n">
        <x:v>1</x:v>
      </x:c>
      <x:c r="S39" s="143" t="str">
        <x:v>Sanitized public reference data</x:v>
      </x:c>
    </x:row>
    <x:row r="40" ht="19" customHeight="1">
      <x:c r="A40" s="143" t="str">
        <x:v>GSA001-20260802-0039</x:v>
      </x:c>
      <x:c r="B40" s="143" t="str">
        <x:v>GSA-001</x:v>
      </x:c>
      <x:c r="C40" s="143" t="str">
        <x:v>Granite Chevrolet of Nashua</x:v>
      </x:c>
      <x:c r="D40" s="144" t="n">
        <x:v>46236</x:v>
      </x:c>
      <x:c r="E40" s="143" t="str">
        <x:v>GSA001-20260802-001</x:v>
      </x:c>
      <x:c r="F40" s="143" t="str">
        <x:v>sanitized_public_inventory_reference</x:v>
      </x:c>
      <x:c r="G40" s="143" t="str">
        <x:v>New</x:v>
      </x:c>
      <x:c r="H40" s="145" t="n">
        <x:v>2026</x:v>
      </x:c>
      <x:c r="I40" s="143" t="str">
        <x:v>Chevrolet</x:v>
      </x:c>
      <x:c r="J40" s="143" t="str">
        <x:v>Silverado 2500 HD</x:v>
      </x:c>
      <x:c r="K40" s="143" t="str">
        <x:v>LT</x:v>
      </x:c>
      <x:c r="L40" s="143" t="str">
        <x:v>2026 Chevrolet Silverado 2500 HD LT</x:v>
      </x:c>
      <x:c r="M40" s="146" t="n">
        <x:v>4</x:v>
      </x:c>
      <x:c r="N40" s="147" t="n">
        <x:v>64787</x:v>
      </x:c>
      <x:c r="O40" s="143" t="str">
        <x:v>Listed</x:v>
      </x:c>
      <x:c r="P40" s="143" t="str">
        <x:v>VEH-D047F9563A8F</x:v>
      </x:c>
      <x:c r="Q40" s="143" t="str">
        <x:v>ARPID047F9563A8F7</x:v>
      </x:c>
      <x:c r="R40" s="145" t="n">
        <x:v>1</x:v>
      </x:c>
      <x:c r="S40" s="143" t="str">
        <x:v>Sanitized public reference data</x:v>
      </x:c>
    </x:row>
    <x:row r="41" ht="19" customHeight="1">
      <x:c r="A41" s="143" t="str">
        <x:v>GSA001-20260802-0040</x:v>
      </x:c>
      <x:c r="B41" s="143" t="str">
        <x:v>GSA-001</x:v>
      </x:c>
      <x:c r="C41" s="143" t="str">
        <x:v>Granite Chevrolet of Nashua</x:v>
      </x:c>
      <x:c r="D41" s="144" t="n">
        <x:v>46236</x:v>
      </x:c>
      <x:c r="E41" s="143" t="str">
        <x:v>GSA001-20260802-001</x:v>
      </x:c>
      <x:c r="F41" s="143" t="str">
        <x:v>sanitized_public_inventory_reference</x:v>
      </x:c>
      <x:c r="G41" s="143" t="str">
        <x:v>New</x:v>
      </x:c>
      <x:c r="H41" s="145" t="n">
        <x:v>2026</x:v>
      </x:c>
      <x:c r="I41" s="143" t="str">
        <x:v>Chevrolet</x:v>
      </x:c>
      <x:c r="J41" s="143" t="str">
        <x:v>Silverado 2500 HD</x:v>
      </x:c>
      <x:c r="K41" s="143" t="str">
        <x:v>LT</x:v>
      </x:c>
      <x:c r="L41" s="143" t="str">
        <x:v>2026 Chevrolet Silverado 2500 HD LT</x:v>
      </x:c>
      <x:c r="M41" s="146" t="n">
        <x:v>4</x:v>
      </x:c>
      <x:c r="N41" s="147" t="n">
        <x:v>70221</x:v>
      </x:c>
      <x:c r="O41" s="143" t="str">
        <x:v>Listed</x:v>
      </x:c>
      <x:c r="P41" s="143" t="str">
        <x:v>VEH-6F140C936964</x:v>
      </x:c>
      <x:c r="Q41" s="143" t="str">
        <x:v>ARPI6F140C936964F</x:v>
      </x:c>
      <x:c r="R41" s="145" t="n">
        <x:v>1</x:v>
      </x:c>
      <x:c r="S41" s="143" t="str">
        <x:v>Sanitized public reference data</x:v>
      </x:c>
    </x:row>
    <x:row r="42" ht="19" customHeight="1">
      <x:c r="A42" s="143" t="str">
        <x:v>GSA001-20260802-0041</x:v>
      </x:c>
      <x:c r="B42" s="143" t="str">
        <x:v>GSA-001</x:v>
      </x:c>
      <x:c r="C42" s="143" t="str">
        <x:v>Granite Chevrolet of Nashua</x:v>
      </x:c>
      <x:c r="D42" s="144" t="n">
        <x:v>46236</x:v>
      </x:c>
      <x:c r="E42" s="143" t="str">
        <x:v>GSA001-20260802-001</x:v>
      </x:c>
      <x:c r="F42" s="143" t="str">
        <x:v>sanitized_public_inventory_reference</x:v>
      </x:c>
      <x:c r="G42" s="143" t="str">
        <x:v>New</x:v>
      </x:c>
      <x:c r="H42" s="145" t="n">
        <x:v>2026</x:v>
      </x:c>
      <x:c r="I42" s="143" t="str">
        <x:v>Chevrolet</x:v>
      </x:c>
      <x:c r="J42" s="143" t="str">
        <x:v>Equinox</x:v>
      </x:c>
      <x:c r="K42" s="143" t="str">
        <x:v>LT</x:v>
      </x:c>
      <x:c r="L42" s="143" t="str">
        <x:v>2026 Chevrolet Equinox LT</x:v>
      </x:c>
      <x:c r="M42" s="146" t="n">
        <x:v>6</x:v>
      </x:c>
      <x:c r="N42" s="147" t="n">
        <x:v>34621</x:v>
      </x:c>
      <x:c r="O42" s="143" t="str">
        <x:v>Listed</x:v>
      </x:c>
      <x:c r="P42" s="143" t="str">
        <x:v>VEH-2C60317DC4ED</x:v>
      </x:c>
      <x:c r="Q42" s="143" t="str">
        <x:v>ARPI2C60317DC4ED2</x:v>
      </x:c>
      <x:c r="R42" s="145" t="n">
        <x:v>1</x:v>
      </x:c>
      <x:c r="S42" s="143" t="str">
        <x:v>Sanitized public reference data</x:v>
      </x:c>
    </x:row>
    <x:row r="43" ht="19" customHeight="1">
      <x:c r="A43" s="143" t="str">
        <x:v>GSA001-20260802-0042</x:v>
      </x:c>
      <x:c r="B43" s="143" t="str">
        <x:v>GSA-001</x:v>
      </x:c>
      <x:c r="C43" s="143" t="str">
        <x:v>Granite Chevrolet of Nashua</x:v>
      </x:c>
      <x:c r="D43" s="144" t="n">
        <x:v>46236</x:v>
      </x:c>
      <x:c r="E43" s="143" t="str">
        <x:v>GSA001-20260802-001</x:v>
      </x:c>
      <x:c r="F43" s="143" t="str">
        <x:v>sanitized_public_inventory_reference</x:v>
      </x:c>
      <x:c r="G43" s="143" t="str">
        <x:v>New</x:v>
      </x:c>
      <x:c r="H43" s="145" t="n">
        <x:v>2026</x:v>
      </x:c>
      <x:c r="I43" s="143" t="str">
        <x:v>Chevrolet</x:v>
      </x:c>
      <x:c r="J43" s="143" t="str">
        <x:v>Equinox</x:v>
      </x:c>
      <x:c r="K43" s="143" t="str">
        <x:v>RS</x:v>
      </x:c>
      <x:c r="L43" s="143" t="str">
        <x:v>2026 Chevrolet Equinox RS</x:v>
      </x:c>
      <x:c r="M43" s="146" t="n">
        <x:v>4</x:v>
      </x:c>
      <x:c r="N43" s="147" t="n">
        <x:v>35399</x:v>
      </x:c>
      <x:c r="O43" s="143" t="str">
        <x:v>Listed</x:v>
      </x:c>
      <x:c r="P43" s="143" t="str">
        <x:v>VEH-6CCC16D4F0C0</x:v>
      </x:c>
      <x:c r="Q43" s="143" t="str">
        <x:v>ARPI6CCC16D4F0C00</x:v>
      </x:c>
      <x:c r="R43" s="145" t="n">
        <x:v>1</x:v>
      </x:c>
      <x:c r="S43" s="143" t="str">
        <x:v>Sanitized public reference data</x:v>
      </x:c>
    </x:row>
    <x:row r="44" ht="19" customHeight="1">
      <x:c r="A44" s="143" t="str">
        <x:v>GSA001-20260802-0043</x:v>
      </x:c>
      <x:c r="B44" s="143" t="str">
        <x:v>GSA-001</x:v>
      </x:c>
      <x:c r="C44" s="143" t="str">
        <x:v>Granite Chevrolet of Nashua</x:v>
      </x:c>
      <x:c r="D44" s="144" t="n">
        <x:v>46236</x:v>
      </x:c>
      <x:c r="E44" s="143" t="str">
        <x:v>GSA001-20260802-001</x:v>
      </x:c>
      <x:c r="F44" s="143" t="str">
        <x:v>sanitized_public_inventory_reference</x:v>
      </x:c>
      <x:c r="G44" s="143" t="str">
        <x:v>New</x:v>
      </x:c>
      <x:c r="H44" s="145" t="n">
        <x:v>2026</x:v>
      </x:c>
      <x:c r="I44" s="143" t="str">
        <x:v>Chevrolet</x:v>
      </x:c>
      <x:c r="J44" s="143" t="str">
        <x:v>Silverado 2500 HD</x:v>
      </x:c>
      <x:c r="K44" s="143" t="str">
        <x:v>High Country</x:v>
      </x:c>
      <x:c r="L44" s="143" t="str">
        <x:v>2026 Chevrolet Silverado 2500 HD High Country</x:v>
      </x:c>
      <x:c r="M44" s="146" t="n">
        <x:v>4</x:v>
      </x:c>
      <x:c r="N44" s="147" t="n">
        <x:v>83705</x:v>
      </x:c>
      <x:c r="O44" s="143" t="str">
        <x:v>Listed</x:v>
      </x:c>
      <x:c r="P44" s="143" t="str">
        <x:v>VEH-2634097E235C</x:v>
      </x:c>
      <x:c r="Q44" s="143" t="str">
        <x:v>ARPI2634097E235C8</x:v>
      </x:c>
      <x:c r="R44" s="145" t="n">
        <x:v>1</x:v>
      </x:c>
      <x:c r="S44" s="143" t="str">
        <x:v>Sanitized public reference data</x:v>
      </x:c>
    </x:row>
    <x:row r="45" ht="19" customHeight="1">
      <x:c r="A45" s="143" t="str">
        <x:v>GSA001-20260802-0044</x:v>
      </x:c>
      <x:c r="B45" s="143" t="str">
        <x:v>GSA-001</x:v>
      </x:c>
      <x:c r="C45" s="143" t="str">
        <x:v>Granite Chevrolet of Nashua</x:v>
      </x:c>
      <x:c r="D45" s="144" t="n">
        <x:v>46236</x:v>
      </x:c>
      <x:c r="E45" s="143" t="str">
        <x:v>GSA001-20260802-001</x:v>
      </x:c>
      <x:c r="F45" s="143" t="str">
        <x:v>sanitized_public_inventory_reference</x:v>
      </x:c>
      <x:c r="G45" s="143" t="str">
        <x:v>New</x:v>
      </x:c>
      <x:c r="H45" s="145" t="n">
        <x:v>2026</x:v>
      </x:c>
      <x:c r="I45" s="143" t="str">
        <x:v>Chevrolet</x:v>
      </x:c>
      <x:c r="J45" s="143" t="str">
        <x:v>Colorado</x:v>
      </x:c>
      <x:c r="K45" s="143" t="str">
        <x:v>WT</x:v>
      </x:c>
      <x:c r="L45" s="143" t="str">
        <x:v>2026 Chevrolet Colorado WT</x:v>
      </x:c>
      <x:c r="M45" s="146" t="n">
        <x:v>4</x:v>
      </x:c>
      <x:c r="N45" s="147" t="n">
        <x:v>38224</x:v>
      </x:c>
      <x:c r="O45" s="143" t="str">
        <x:v>Listed</x:v>
      </x:c>
      <x:c r="P45" s="143" t="str">
        <x:v>VEH-7D0F6A23B915</x:v>
      </x:c>
      <x:c r="Q45" s="143" t="str">
        <x:v>ARPI7D0F6A23B9155</x:v>
      </x:c>
      <x:c r="R45" s="145" t="n">
        <x:v>1</x:v>
      </x:c>
      <x:c r="S45" s="143" t="str">
        <x:v>Sanitized public reference data</x:v>
      </x:c>
    </x:row>
    <x:row r="46" ht="19" customHeight="1">
      <x:c r="A46" s="143" t="str">
        <x:v>GSA001-20260802-0045</x:v>
      </x:c>
      <x:c r="B46" s="143" t="str">
        <x:v>GSA-001</x:v>
      </x:c>
      <x:c r="C46" s="143" t="str">
        <x:v>Granite Chevrolet of Nashua</x:v>
      </x:c>
      <x:c r="D46" s="144" t="n">
        <x:v>46236</x:v>
      </x:c>
      <x:c r="E46" s="143" t="str">
        <x:v>GSA001-20260802-001</x:v>
      </x:c>
      <x:c r="F46" s="143" t="str">
        <x:v>sanitized_public_inventory_reference</x:v>
      </x:c>
      <x:c r="G46" s="143" t="str">
        <x:v>New</x:v>
      </x:c>
      <x:c r="H46" s="145" t="n">
        <x:v>2026</x:v>
      </x:c>
      <x:c r="I46" s="143" t="str">
        <x:v>Chevrolet</x:v>
      </x:c>
      <x:c r="J46" s="143" t="str">
        <x:v>Colorado</x:v>
      </x:c>
      <x:c r="K46" s="143" t="str">
        <x:v>WT</x:v>
      </x:c>
      <x:c r="L46" s="143" t="str">
        <x:v>2026 Chevrolet Colorado WT</x:v>
      </x:c>
      <x:c r="M46" s="146" t="n">
        <x:v>4</x:v>
      </x:c>
      <x:c r="N46" s="147" t="n">
        <x:v>35860</x:v>
      </x:c>
      <x:c r="O46" s="143" t="str">
        <x:v>Listed</x:v>
      </x:c>
      <x:c r="P46" s="143" t="str">
        <x:v>VEH-2DF1B5819909</x:v>
      </x:c>
      <x:c r="Q46" s="143" t="str">
        <x:v>ARPI2DF1B58199090</x:v>
      </x:c>
      <x:c r="R46" s="145" t="n">
        <x:v>1</x:v>
      </x:c>
      <x:c r="S46" s="143" t="str">
        <x:v>Sanitized public reference data</x:v>
      </x:c>
    </x:row>
    <x:row r="47" ht="19" customHeight="1">
      <x:c r="A47" s="143" t="str">
        <x:v>GSA001-20260802-0046</x:v>
      </x:c>
      <x:c r="B47" s="143" t="str">
        <x:v>GSA-001</x:v>
      </x:c>
      <x:c r="C47" s="143" t="str">
        <x:v>Granite Chevrolet of Nashua</x:v>
      </x:c>
      <x:c r="D47" s="144" t="n">
        <x:v>46236</x:v>
      </x:c>
      <x:c r="E47" s="143" t="str">
        <x:v>GSA001-20260802-001</x:v>
      </x:c>
      <x:c r="F47" s="143" t="str">
        <x:v>sanitized_public_inventory_reference</x:v>
      </x:c>
      <x:c r="G47" s="143" t="str">
        <x:v>New</x:v>
      </x:c>
      <x:c r="H47" s="145" t="n">
        <x:v>2026</x:v>
      </x:c>
      <x:c r="I47" s="143" t="str">
        <x:v>Chevrolet</x:v>
      </x:c>
      <x:c r="J47" s="143" t="str">
        <x:v>Equinox</x:v>
      </x:c>
      <x:c r="K47" s="143" t="str">
        <x:v>LT</x:v>
      </x:c>
      <x:c r="L47" s="143" t="str">
        <x:v>2026 Chevrolet Equinox LT</x:v>
      </x:c>
      <x:c r="M47" s="146" t="n">
        <x:v>4</x:v>
      </x:c>
      <x:c r="N47" s="147" t="n">
        <x:v>34024</x:v>
      </x:c>
      <x:c r="O47" s="143" t="str">
        <x:v>Listed</x:v>
      </x:c>
      <x:c r="P47" s="143" t="str">
        <x:v>VEH-09FE4B474C59</x:v>
      </x:c>
      <x:c r="Q47" s="143" t="str">
        <x:v>ARPI09FE4B474C591</x:v>
      </x:c>
      <x:c r="R47" s="145" t="n">
        <x:v>1</x:v>
      </x:c>
      <x:c r="S47" s="143" t="str">
        <x:v>Sanitized public reference data</x:v>
      </x:c>
    </x:row>
    <x:row r="48" ht="19" customHeight="1">
      <x:c r="A48" s="143" t="str">
        <x:v>GSA001-20260802-0047</x:v>
      </x:c>
      <x:c r="B48" s="143" t="str">
        <x:v>GSA-001</x:v>
      </x:c>
      <x:c r="C48" s="143" t="str">
        <x:v>Granite Chevrolet of Nashua</x:v>
      </x:c>
      <x:c r="D48" s="144" t="n">
        <x:v>46236</x:v>
      </x:c>
      <x:c r="E48" s="143" t="str">
        <x:v>GSA001-20260802-001</x:v>
      </x:c>
      <x:c r="F48" s="143" t="str">
        <x:v>sanitized_public_inventory_reference</x:v>
      </x:c>
      <x:c r="G48" s="143" t="str">
        <x:v>New</x:v>
      </x:c>
      <x:c r="H48" s="145" t="n">
        <x:v>2026</x:v>
      </x:c>
      <x:c r="I48" s="143" t="str">
        <x:v>Chevrolet</x:v>
      </x:c>
      <x:c r="J48" s="143" t="str">
        <x:v>Equinox</x:v>
      </x:c>
      <x:c r="K48" s="143" t="str">
        <x:v>LT</x:v>
      </x:c>
      <x:c r="L48" s="143" t="str">
        <x:v>2026 Chevrolet Equinox LT</x:v>
      </x:c>
      <x:c r="M48" s="146" t="n">
        <x:v>4</x:v>
      </x:c>
      <x:c r="N48" s="147" t="n">
        <x:v>34498</x:v>
      </x:c>
      <x:c r="O48" s="143" t="str">
        <x:v>Listed</x:v>
      </x:c>
      <x:c r="P48" s="143" t="str">
        <x:v>VEH-66F3BCC463D8</x:v>
      </x:c>
      <x:c r="Q48" s="143" t="str">
        <x:v>ARPI66F3BCC463D82</x:v>
      </x:c>
      <x:c r="R48" s="145" t="n">
        <x:v>1</x:v>
      </x:c>
      <x:c r="S48" s="143" t="str">
        <x:v>Sanitized public reference data</x:v>
      </x:c>
    </x:row>
    <x:row r="49" ht="19" customHeight="1">
      <x:c r="A49" s="143" t="str">
        <x:v>GSA001-20260802-0048</x:v>
      </x:c>
      <x:c r="B49" s="143" t="str">
        <x:v>GSA-001</x:v>
      </x:c>
      <x:c r="C49" s="143" t="str">
        <x:v>Granite Chevrolet of Nashua</x:v>
      </x:c>
      <x:c r="D49" s="144" t="n">
        <x:v>46236</x:v>
      </x:c>
      <x:c r="E49" s="143" t="str">
        <x:v>GSA001-20260802-001</x:v>
      </x:c>
      <x:c r="F49" s="143" t="str">
        <x:v>sanitized_public_inventory_reference</x:v>
      </x:c>
      <x:c r="G49" s="143" t="str">
        <x:v>New</x:v>
      </x:c>
      <x:c r="H49" s="145" t="n">
        <x:v>2026</x:v>
      </x:c>
      <x:c r="I49" s="143" t="str">
        <x:v>Chevrolet</x:v>
      </x:c>
      <x:c r="J49" s="143" t="str">
        <x:v>Silverado 3500 HD</x:v>
      </x:c>
      <x:c r="K49" s="143" t="str">
        <x:v>LT</x:v>
      </x:c>
      <x:c r="L49" s="143" t="str">
        <x:v>2026 Chevrolet Silverado 3500 HD LT</x:v>
      </x:c>
      <x:c r="M49" s="146" t="n">
        <x:v>4</x:v>
      </x:c>
      <x:c r="N49" s="147" t="n">
        <x:v>67746</x:v>
      </x:c>
      <x:c r="O49" s="143" t="str">
        <x:v>Listed</x:v>
      </x:c>
      <x:c r="P49" s="143" t="str">
        <x:v>VEH-1957A56BE56D</x:v>
      </x:c>
      <x:c r="Q49" s="143" t="str">
        <x:v>ARPI1957A56BE56D1</x:v>
      </x:c>
      <x:c r="R49" s="145" t="n">
        <x:v>1</x:v>
      </x:c>
      <x:c r="S49" s="143" t="str">
        <x:v>Sanitized public reference data</x:v>
      </x:c>
    </x:row>
    <x:row r="50" ht="19" customHeight="1">
      <x:c r="A50" s="143" t="str">
        <x:v>GSA001-20260802-0049</x:v>
      </x:c>
      <x:c r="B50" s="143" t="str">
        <x:v>GSA-001</x:v>
      </x:c>
      <x:c r="C50" s="143" t="str">
        <x:v>Granite Chevrolet of Nashua</x:v>
      </x:c>
      <x:c r="D50" s="144" t="n">
        <x:v>46236</x:v>
      </x:c>
      <x:c r="E50" s="143" t="str">
        <x:v>GSA001-20260802-001</x:v>
      </x:c>
      <x:c r="F50" s="143" t="str">
        <x:v>sanitized_public_inventory_reference</x:v>
      </x:c>
      <x:c r="G50" s="143" t="str">
        <x:v>New</x:v>
      </x:c>
      <x:c r="H50" s="145" t="n">
        <x:v>2026</x:v>
      </x:c>
      <x:c r="I50" s="143" t="str">
        <x:v>Chevrolet</x:v>
      </x:c>
      <x:c r="J50" s="143" t="str">
        <x:v>Silverado 3500 HD Chassis Cab</x:v>
      </x:c>
      <x:c r="K50" s="143" t="str">
        <x:v>Work Truck</x:v>
      </x:c>
      <x:c r="L50" s="143" t="str">
        <x:v>2026 Chevrolet Silverado 3500 HD Chassis Cab Work Truck</x:v>
      </x:c>
      <x:c r="M50" s="146" t="n">
        <x:v>4</x:v>
      </x:c>
      <x:c r="N50" s="147" t="n">
        <x:v>52042</x:v>
      </x:c>
      <x:c r="O50" s="143" t="str">
        <x:v>Listed</x:v>
      </x:c>
      <x:c r="P50" s="143" t="str">
        <x:v>VEH-03998CEAD76D</x:v>
      </x:c>
      <x:c r="Q50" s="143" t="str">
        <x:v>ARPI03998CEAD76D6</x:v>
      </x:c>
      <x:c r="R50" s="145" t="n">
        <x:v>1</x:v>
      </x:c>
      <x:c r="S50" s="143" t="str">
        <x:v>Sanitized public reference data</x:v>
      </x:c>
    </x:row>
    <x:row r="51" ht="19" customHeight="1">
      <x:c r="A51" s="143" t="str">
        <x:v>GSA001-20260802-0050</x:v>
      </x:c>
      <x:c r="B51" s="143" t="str">
        <x:v>GSA-001</x:v>
      </x:c>
      <x:c r="C51" s="143" t="str">
        <x:v>Granite Chevrolet of Nashua</x:v>
      </x:c>
      <x:c r="D51" s="144" t="n">
        <x:v>46236</x:v>
      </x:c>
      <x:c r="E51" s="143" t="str">
        <x:v>GSA001-20260802-001</x:v>
      </x:c>
      <x:c r="F51" s="143" t="str">
        <x:v>sanitized_public_inventory_reference</x:v>
      </x:c>
      <x:c r="G51" s="143" t="str">
        <x:v>New</x:v>
      </x:c>
      <x:c r="H51" s="145" t="n">
        <x:v>2026</x:v>
      </x:c>
      <x:c r="I51" s="143" t="str">
        <x:v>Chevrolet</x:v>
      </x:c>
      <x:c r="J51" s="143" t="str">
        <x:v>Tahoe</x:v>
      </x:c>
      <x:c r="K51" s="143" t="str">
        <x:v>Premier</x:v>
      </x:c>
      <x:c r="L51" s="143" t="str">
        <x:v>2026 Chevrolet Tahoe Premier</x:v>
      </x:c>
      <x:c r="M51" s="146" t="n">
        <x:v>4</x:v>
      </x:c>
      <x:c r="N51" s="147" t="n">
        <x:v>77499</x:v>
      </x:c>
      <x:c r="O51" s="143" t="str">
        <x:v>Listed</x:v>
      </x:c>
      <x:c r="P51" s="143" t="str">
        <x:v>VEH-C45738BB0BF1</x:v>
      </x:c>
      <x:c r="Q51" s="143" t="str">
        <x:v>ARPIC45738BB0BF1C</x:v>
      </x:c>
      <x:c r="R51" s="145" t="n">
        <x:v>1</x:v>
      </x:c>
      <x:c r="S51" s="143" t="str">
        <x:v>Sanitized public reference data</x:v>
      </x:c>
    </x:row>
    <x:row r="52" ht="19" customHeight="1">
      <x:c r="A52" s="143" t="str">
        <x:v>GSA001-20260802-0051</x:v>
      </x:c>
      <x:c r="B52" s="143" t="str">
        <x:v>GSA-001</x:v>
      </x:c>
      <x:c r="C52" s="143" t="str">
        <x:v>Granite Chevrolet of Nashua</x:v>
      </x:c>
      <x:c r="D52" s="144" t="n">
        <x:v>46236</x:v>
      </x:c>
      <x:c r="E52" s="143" t="str">
        <x:v>GSA001-20260802-001</x:v>
      </x:c>
      <x:c r="F52" s="143" t="str">
        <x:v>sanitized_public_inventory_reference</x:v>
      </x:c>
      <x:c r="G52" s="143" t="str">
        <x:v>New</x:v>
      </x:c>
      <x:c r="H52" s="145" t="n">
        <x:v>2026</x:v>
      </x:c>
      <x:c r="I52" s="143" t="str">
        <x:v>Chevrolet</x:v>
      </x:c>
      <x:c r="J52" s="143" t="str">
        <x:v>Equinox</x:v>
      </x:c>
      <x:c r="K52" s="143" t="str">
        <x:v>LT</x:v>
      </x:c>
      <x:c r="L52" s="143" t="str">
        <x:v>2026 Chevrolet Equinox LT</x:v>
      </x:c>
      <x:c r="M52" s="146" t="n">
        <x:v>4</x:v>
      </x:c>
      <x:c r="N52" s="147" t="n">
        <x:v>34498</x:v>
      </x:c>
      <x:c r="O52" s="143" t="str">
        <x:v>Listed</x:v>
      </x:c>
      <x:c r="P52" s="143" t="str">
        <x:v>VEH-3453A684635D</x:v>
      </x:c>
      <x:c r="Q52" s="143" t="str">
        <x:v>ARPI3453A684635D0</x:v>
      </x:c>
      <x:c r="R52" s="145" t="n">
        <x:v>1</x:v>
      </x:c>
      <x:c r="S52" s="143" t="str">
        <x:v>Sanitized public reference data</x:v>
      </x:c>
    </x:row>
    <x:row r="53" ht="19" customHeight="1">
      <x:c r="A53" s="143" t="str">
        <x:v>GSA001-20260802-0052</x:v>
      </x:c>
      <x:c r="B53" s="143" t="str">
        <x:v>GSA-001</x:v>
      </x:c>
      <x:c r="C53" s="143" t="str">
        <x:v>Granite Chevrolet of Nashua</x:v>
      </x:c>
      <x:c r="D53" s="144" t="n">
        <x:v>46236</x:v>
      </x:c>
      <x:c r="E53" s="143" t="str">
        <x:v>GSA001-20260802-001</x:v>
      </x:c>
      <x:c r="F53" s="143" t="str">
        <x:v>sanitized_public_inventory_reference</x:v>
      </x:c>
      <x:c r="G53" s="143" t="str">
        <x:v>New</x:v>
      </x:c>
      <x:c r="H53" s="145" t="n">
        <x:v>2026</x:v>
      </x:c>
      <x:c r="I53" s="143" t="str">
        <x:v>Chevrolet</x:v>
      </x:c>
      <x:c r="J53" s="143" t="str">
        <x:v>Equinox</x:v>
      </x:c>
      <x:c r="K53" s="143" t="str">
        <x:v>LT</x:v>
      </x:c>
      <x:c r="L53" s="143" t="str">
        <x:v>2026 Chevrolet Equinox LT</x:v>
      </x:c>
      <x:c r="M53" s="146" t="n">
        <x:v>4</x:v>
      </x:c>
      <x:c r="N53" s="147" t="n">
        <x:v>31929</x:v>
      </x:c>
      <x:c r="O53" s="143" t="str">
        <x:v>Listed</x:v>
      </x:c>
      <x:c r="P53" s="143" t="str">
        <x:v>VEH-31F1269BF221</x:v>
      </x:c>
      <x:c r="Q53" s="143" t="str">
        <x:v>ARPI31F1269BF221B</x:v>
      </x:c>
      <x:c r="R53" s="145" t="n">
        <x:v>1</x:v>
      </x:c>
      <x:c r="S53" s="143" t="str">
        <x:v>Sanitized public reference data</x:v>
      </x:c>
    </x:row>
    <x:row r="54" ht="19" customHeight="1">
      <x:c r="A54" s="143" t="str">
        <x:v>GSA001-20260802-0053</x:v>
      </x:c>
      <x:c r="B54" s="143" t="str">
        <x:v>GSA-001</x:v>
      </x:c>
      <x:c r="C54" s="143" t="str">
        <x:v>Granite Chevrolet of Nashua</x:v>
      </x:c>
      <x:c r="D54" s="144" t="n">
        <x:v>46236</x:v>
      </x:c>
      <x:c r="E54" s="143" t="str">
        <x:v>GSA001-20260802-001</x:v>
      </x:c>
      <x:c r="F54" s="143" t="str">
        <x:v>sanitized_public_inventory_reference</x:v>
      </x:c>
      <x:c r="G54" s="143" t="str">
        <x:v>New</x:v>
      </x:c>
      <x:c r="H54" s="145" t="n">
        <x:v>2026</x:v>
      </x:c>
      <x:c r="I54" s="143" t="str">
        <x:v>Chevrolet</x:v>
      </x:c>
      <x:c r="J54" s="143" t="str">
        <x:v>Equinox</x:v>
      </x:c>
      <x:c r="K54" s="143" t="str">
        <x:v>RS</x:v>
      </x:c>
      <x:c r="L54" s="143" t="str">
        <x:v>2026 Chevrolet Equinox RS</x:v>
      </x:c>
      <x:c r="M54" s="146" t="n">
        <x:v>3</x:v>
      </x:c>
      <x:c r="N54" s="147" t="n">
        <x:v>39599</x:v>
      </x:c>
      <x:c r="O54" s="143" t="str">
        <x:v>Listed</x:v>
      </x:c>
      <x:c r="P54" s="143" t="str">
        <x:v>VEH-1F8DBE2283D9</x:v>
      </x:c>
      <x:c r="Q54" s="143" t="str">
        <x:v>ARPI1F8DBE2283D92</x:v>
      </x:c>
      <x:c r="R54" s="145" t="n">
        <x:v>1</x:v>
      </x:c>
      <x:c r="S54" s="143" t="str">
        <x:v>Sanitized public reference data</x:v>
      </x:c>
    </x:row>
    <x:row r="55" ht="19" customHeight="1">
      <x:c r="A55" s="143" t="str">
        <x:v>GSA001-20260802-0054</x:v>
      </x:c>
      <x:c r="B55" s="143" t="str">
        <x:v>GSA-001</x:v>
      </x:c>
      <x:c r="C55" s="143" t="str">
        <x:v>Granite Chevrolet of Nashua</x:v>
      </x:c>
      <x:c r="D55" s="144" t="n">
        <x:v>46236</x:v>
      </x:c>
      <x:c r="E55" s="143" t="str">
        <x:v>GSA001-20260802-001</x:v>
      </x:c>
      <x:c r="F55" s="143" t="str">
        <x:v>sanitized_public_inventory_reference</x:v>
      </x:c>
      <x:c r="G55" s="143" t="str">
        <x:v>New</x:v>
      </x:c>
      <x:c r="H55" s="145" t="n">
        <x:v>2026</x:v>
      </x:c>
      <x:c r="I55" s="143" t="str">
        <x:v>Chevrolet</x:v>
      </x:c>
      <x:c r="J55" s="143" t="str">
        <x:v>Silverado 2500 HD</x:v>
      </x:c>
      <x:c r="K55" s="143" t="str">
        <x:v>High Country</x:v>
      </x:c>
      <x:c r="L55" s="143" t="str">
        <x:v>2026 Chevrolet Silverado 2500 HD High Country</x:v>
      </x:c>
      <x:c r="M55" s="146" t="n">
        <x:v>4</x:v>
      </x:c>
      <x:c r="N55" s="147" t="n">
        <x:v>86501</x:v>
      </x:c>
      <x:c r="O55" s="143" t="str">
        <x:v>Listed</x:v>
      </x:c>
      <x:c r="P55" s="143" t="str">
        <x:v>VEH-D5D3EAB4CA8F</x:v>
      </x:c>
      <x:c r="Q55" s="143" t="str">
        <x:v>ARPID5D3EAB4CA8FA</x:v>
      </x:c>
      <x:c r="R55" s="145" t="n">
        <x:v>1</x:v>
      </x:c>
      <x:c r="S55" s="143" t="str">
        <x:v>Sanitized public reference data</x:v>
      </x:c>
    </x:row>
    <x:row r="56" ht="19" customHeight="1">
      <x:c r="A56" s="143" t="str">
        <x:v>GSA001-20260802-0055</x:v>
      </x:c>
      <x:c r="B56" s="143" t="str">
        <x:v>GSA-001</x:v>
      </x:c>
      <x:c r="C56" s="143" t="str">
        <x:v>Granite Chevrolet of Nashua</x:v>
      </x:c>
      <x:c r="D56" s="144" t="n">
        <x:v>46236</x:v>
      </x:c>
      <x:c r="E56" s="143" t="str">
        <x:v>GSA001-20260802-001</x:v>
      </x:c>
      <x:c r="F56" s="143" t="str">
        <x:v>sanitized_public_inventory_reference</x:v>
      </x:c>
      <x:c r="G56" s="143" t="str">
        <x:v>New</x:v>
      </x:c>
      <x:c r="H56" s="145" t="n">
        <x:v>2026</x:v>
      </x:c>
      <x:c r="I56" s="143" t="str">
        <x:v>Chevrolet</x:v>
      </x:c>
      <x:c r="J56" s="143" t="str">
        <x:v>Silverado 2500 HD</x:v>
      </x:c>
      <x:c r="K56" s="143" t="str">
        <x:v>Custom</x:v>
      </x:c>
      <x:c r="L56" s="143" t="str">
        <x:v>2026 Chevrolet Silverado 2500 HD Custom</x:v>
      </x:c>
      <x:c r="M56" s="146" t="n">
        <x:v>4</x:v>
      </x:c>
      <x:c r="N56" s="147" t="n">
        <x:v>64890</x:v>
      </x:c>
      <x:c r="O56" s="143" t="str">
        <x:v>Listed</x:v>
      </x:c>
      <x:c r="P56" s="143" t="str">
        <x:v>VEH-91F7DE4E215D</x:v>
      </x:c>
      <x:c r="Q56" s="143" t="str">
        <x:v>ARPI91F7DE4E215DB</x:v>
      </x:c>
      <x:c r="R56" s="145" t="n">
        <x:v>1</x:v>
      </x:c>
      <x:c r="S56" s="143" t="str">
        <x:v>Sanitized public reference data</x:v>
      </x:c>
    </x:row>
    <x:row r="57" ht="19" customHeight="1">
      <x:c r="A57" s="143" t="str">
        <x:v>GSA001-20260802-0056</x:v>
      </x:c>
      <x:c r="B57" s="143" t="str">
        <x:v>GSA-001</x:v>
      </x:c>
      <x:c r="C57" s="143" t="str">
        <x:v>Granite Chevrolet of Nashua</x:v>
      </x:c>
      <x:c r="D57" s="144" t="n">
        <x:v>46236</x:v>
      </x:c>
      <x:c r="E57" s="143" t="str">
        <x:v>GSA001-20260802-001</x:v>
      </x:c>
      <x:c r="F57" s="143" t="str">
        <x:v>sanitized_public_inventory_reference</x:v>
      </x:c>
      <x:c r="G57" s="143" t="str">
        <x:v>New</x:v>
      </x:c>
      <x:c r="H57" s="145" t="n">
        <x:v>2026</x:v>
      </x:c>
      <x:c r="I57" s="143" t="str">
        <x:v>Chevrolet</x:v>
      </x:c>
      <x:c r="J57" s="143" t="str">
        <x:v>Suburban</x:v>
      </x:c>
      <x:c r="K57" s="143" t="str">
        <x:v>Premier</x:v>
      </x:c>
      <x:c r="L57" s="143" t="str">
        <x:v>2026 Chevrolet Suburban Premier</x:v>
      </x:c>
      <x:c r="M57" s="146" t="n">
        <x:v>4</x:v>
      </x:c>
      <x:c r="N57" s="147" t="n">
        <x:v>81592</x:v>
      </x:c>
      <x:c r="O57" s="143" t="str">
        <x:v>Listed</x:v>
      </x:c>
      <x:c r="P57" s="143" t="str">
        <x:v>VEH-48138C496B8F</x:v>
      </x:c>
      <x:c r="Q57" s="143" t="str">
        <x:v>ARPI48138C496B8FC</x:v>
      </x:c>
      <x:c r="R57" s="145" t="n">
        <x:v>1</x:v>
      </x:c>
      <x:c r="S57" s="143" t="str">
        <x:v>Sanitized public reference data</x:v>
      </x:c>
    </x:row>
    <x:row r="58" ht="19" customHeight="1">
      <x:c r="A58" s="143" t="str">
        <x:v>GSA001-20260802-0057</x:v>
      </x:c>
      <x:c r="B58" s="143" t="str">
        <x:v>GSA-001</x:v>
      </x:c>
      <x:c r="C58" s="143" t="str">
        <x:v>Granite Chevrolet of Nashua</x:v>
      </x:c>
      <x:c r="D58" s="144" t="n">
        <x:v>46236</x:v>
      </x:c>
      <x:c r="E58" s="143" t="str">
        <x:v>GSA001-20260802-001</x:v>
      </x:c>
      <x:c r="F58" s="143" t="str">
        <x:v>sanitized_public_inventory_reference</x:v>
      </x:c>
      <x:c r="G58" s="143" t="str">
        <x:v>New</x:v>
      </x:c>
      <x:c r="H58" s="145" t="n">
        <x:v>2026</x:v>
      </x:c>
      <x:c r="I58" s="143" t="str">
        <x:v>Chevrolet</x:v>
      </x:c>
      <x:c r="J58" s="143" t="str">
        <x:v>Equinox</x:v>
      </x:c>
      <x:c r="K58" s="143" t="str">
        <x:v>LT</x:v>
      </x:c>
      <x:c r="L58" s="143" t="str">
        <x:v>2026 Chevrolet Equinox LT</x:v>
      </x:c>
      <x:c r="M58" s="146" t="n">
        <x:v>4</x:v>
      </x:c>
      <x:c r="N58" s="147" t="n">
        <x:v>31929</x:v>
      </x:c>
      <x:c r="O58" s="143" t="str">
        <x:v>Listed</x:v>
      </x:c>
      <x:c r="P58" s="143" t="str">
        <x:v>VEH-8B9DAA97D015</x:v>
      </x:c>
      <x:c r="Q58" s="143" t="str">
        <x:v>ARPI8B9DAA97D015D</x:v>
      </x:c>
      <x:c r="R58" s="145" t="n">
        <x:v>1</x:v>
      </x:c>
      <x:c r="S58" s="143" t="str">
        <x:v>Sanitized public reference data</x:v>
      </x:c>
    </x:row>
    <x:row r="59" ht="19" customHeight="1">
      <x:c r="A59" s="143" t="str">
        <x:v>GSA001-20260802-0058</x:v>
      </x:c>
      <x:c r="B59" s="143" t="str">
        <x:v>GSA-001</x:v>
      </x:c>
      <x:c r="C59" s="143" t="str">
        <x:v>Granite Chevrolet of Nashua</x:v>
      </x:c>
      <x:c r="D59" s="144" t="n">
        <x:v>46236</x:v>
      </x:c>
      <x:c r="E59" s="143" t="str">
        <x:v>GSA001-20260802-001</x:v>
      </x:c>
      <x:c r="F59" s="143" t="str">
        <x:v>sanitized_public_inventory_reference</x:v>
      </x:c>
      <x:c r="G59" s="143" t="str">
        <x:v>New</x:v>
      </x:c>
      <x:c r="H59" s="145" t="n">
        <x:v>2026</x:v>
      </x:c>
      <x:c r="I59" s="143" t="str">
        <x:v>Chevrolet</x:v>
      </x:c>
      <x:c r="J59" s="143" t="str">
        <x:v>Equinox</x:v>
      </x:c>
      <x:c r="K59" s="143" t="str">
        <x:v>LT</x:v>
      </x:c>
      <x:c r="L59" s="143" t="str">
        <x:v>2026 Chevrolet Equinox LT</x:v>
      </x:c>
      <x:c r="M59" s="146" t="n">
        <x:v>4</x:v>
      </x:c>
      <x:c r="N59" s="147" t="n">
        <x:v>31929</x:v>
      </x:c>
      <x:c r="O59" s="143" t="str">
        <x:v>Listed</x:v>
      </x:c>
      <x:c r="P59" s="143" t="str">
        <x:v>VEH-6E0B219EBA22</x:v>
      </x:c>
      <x:c r="Q59" s="143" t="str">
        <x:v>ARPI6E0B219EBA22A</x:v>
      </x:c>
      <x:c r="R59" s="145" t="n">
        <x:v>1</x:v>
      </x:c>
      <x:c r="S59" s="143" t="str">
        <x:v>Sanitized public reference data</x:v>
      </x:c>
    </x:row>
    <x:row r="60" ht="19" customHeight="1">
      <x:c r="A60" s="143" t="str">
        <x:v>GSA001-20260802-0059</x:v>
      </x:c>
      <x:c r="B60" s="143" t="str">
        <x:v>GSA-001</x:v>
      </x:c>
      <x:c r="C60" s="143" t="str">
        <x:v>Granite Chevrolet of Nashua</x:v>
      </x:c>
      <x:c r="D60" s="144" t="n">
        <x:v>46236</x:v>
      </x:c>
      <x:c r="E60" s="143" t="str">
        <x:v>GSA001-20260802-001</x:v>
      </x:c>
      <x:c r="F60" s="143" t="str">
        <x:v>sanitized_public_inventory_reference</x:v>
      </x:c>
      <x:c r="G60" s="143" t="str">
        <x:v>New</x:v>
      </x:c>
      <x:c r="H60" s="145" t="n">
        <x:v>2026</x:v>
      </x:c>
      <x:c r="I60" s="143" t="str">
        <x:v>Chevrolet</x:v>
      </x:c>
      <x:c r="J60" s="143" t="str">
        <x:v>Express Cutaway 3500</x:v>
      </x:c>
      <x:c r="K60" s="143" t="str">
        <x:v>1WT</x:v>
      </x:c>
      <x:c r="L60" s="143" t="str">
        <x:v>2026 Chevrolet Express Cutaway 3500 1WT</x:v>
      </x:c>
      <x:c r="M60" s="146" t="n">
        <x:v>3</x:v>
      </x:c>
      <x:c r="N60" s="147" t="n">
        <x:v>44619</x:v>
      </x:c>
      <x:c r="O60" s="143" t="str">
        <x:v>Listed</x:v>
      </x:c>
      <x:c r="P60" s="143" t="str">
        <x:v>VEH-EEEB2E97DAC3</x:v>
      </x:c>
      <x:c r="Q60" s="143" t="str">
        <x:v>ARPIEEEB2E97DAC33</x:v>
      </x:c>
      <x:c r="R60" s="145" t="n">
        <x:v>1</x:v>
      </x:c>
      <x:c r="S60" s="143" t="str">
        <x:v>Sanitized public reference data</x:v>
      </x:c>
    </x:row>
    <x:row r="61" ht="19" customHeight="1">
      <x:c r="A61" s="143" t="str">
        <x:v>GSA001-20260802-0060</x:v>
      </x:c>
      <x:c r="B61" s="143" t="str">
        <x:v>GSA-001</x:v>
      </x:c>
      <x:c r="C61" s="143" t="str">
        <x:v>Granite Chevrolet of Nashua</x:v>
      </x:c>
      <x:c r="D61" s="144" t="n">
        <x:v>46236</x:v>
      </x:c>
      <x:c r="E61" s="143" t="str">
        <x:v>GSA001-20260802-001</x:v>
      </x:c>
      <x:c r="F61" s="143" t="str">
        <x:v>sanitized_public_inventory_reference</x:v>
      </x:c>
      <x:c r="G61" s="143" t="str">
        <x:v>New</x:v>
      </x:c>
      <x:c r="H61" s="145" t="n">
        <x:v>2026</x:v>
      </x:c>
      <x:c r="I61" s="143" t="str">
        <x:v>Chevrolet</x:v>
      </x:c>
      <x:c r="J61" s="143" t="str">
        <x:v>Silverado 1500</x:v>
      </x:c>
      <x:c r="K61" s="143" t="str">
        <x:v>LTZ</x:v>
      </x:c>
      <x:c r="L61" s="143" t="str">
        <x:v>2026 Chevrolet Silverado 1500 LTZ</x:v>
      </x:c>
      <x:c r="M61" s="146" t="n">
        <x:v>4</x:v>
      </x:c>
      <x:c r="N61" s="147" t="n">
        <x:v>56456</x:v>
      </x:c>
      <x:c r="O61" s="143" t="str">
        <x:v>Listed</x:v>
      </x:c>
      <x:c r="P61" s="143" t="str">
        <x:v>VEH-E550A79526B5</x:v>
      </x:c>
      <x:c r="Q61" s="143" t="str">
        <x:v>ARPIE550A79526B5C</x:v>
      </x:c>
      <x:c r="R61" s="145" t="n">
        <x:v>1</x:v>
      </x:c>
      <x:c r="S61" s="143" t="str">
        <x:v>Sanitized public reference data</x:v>
      </x:c>
    </x:row>
    <x:row r="62" ht="19" customHeight="1">
      <x:c r="A62" s="143" t="str">
        <x:v>GSA001-20260802-0061</x:v>
      </x:c>
      <x:c r="B62" s="143" t="str">
        <x:v>GSA-001</x:v>
      </x:c>
      <x:c r="C62" s="143" t="str">
        <x:v>Granite Chevrolet of Nashua</x:v>
      </x:c>
      <x:c r="D62" s="144" t="n">
        <x:v>46236</x:v>
      </x:c>
      <x:c r="E62" s="143" t="str">
        <x:v>GSA001-20260802-001</x:v>
      </x:c>
      <x:c r="F62" s="143" t="str">
        <x:v>sanitized_public_inventory_reference</x:v>
      </x:c>
      <x:c r="G62" s="143" t="str">
        <x:v>New</x:v>
      </x:c>
      <x:c r="H62" s="145" t="n">
        <x:v>2026</x:v>
      </x:c>
      <x:c r="I62" s="143" t="str">
        <x:v>Chevrolet</x:v>
      </x:c>
      <x:c r="J62" s="143" t="str">
        <x:v>Silverado 1500</x:v>
      </x:c>
      <x:c r="K62" s="143" t="str">
        <x:v>LT (2FL)</x:v>
      </x:c>
      <x:c r="L62" s="143" t="str">
        <x:v>2026 Chevrolet Silverado 1500 LT (2FL)</x:v>
      </x:c>
      <x:c r="M62" s="146" t="n">
        <x:v>4</x:v>
      </x:c>
      <x:c r="N62" s="147" t="n">
        <x:v>49304</x:v>
      </x:c>
      <x:c r="O62" s="143" t="str">
        <x:v>Listed</x:v>
      </x:c>
      <x:c r="P62" s="143" t="str">
        <x:v>VEH-67481D086A2C</x:v>
      </x:c>
      <x:c r="Q62" s="143" t="str">
        <x:v>ARPI67481D086A2CC</x:v>
      </x:c>
      <x:c r="R62" s="145" t="n">
        <x:v>1</x:v>
      </x:c>
      <x:c r="S62" s="143" t="str">
        <x:v>Sanitized public reference data</x:v>
      </x:c>
    </x:row>
    <x:row r="63" ht="19" customHeight="1">
      <x:c r="A63" s="143" t="str">
        <x:v>GSA001-20260802-0062</x:v>
      </x:c>
      <x:c r="B63" s="143" t="str">
        <x:v>GSA-001</x:v>
      </x:c>
      <x:c r="C63" s="143" t="str">
        <x:v>Granite Chevrolet of Nashua</x:v>
      </x:c>
      <x:c r="D63" s="144" t="n">
        <x:v>46236</x:v>
      </x:c>
      <x:c r="E63" s="143" t="str">
        <x:v>GSA001-20260802-001</x:v>
      </x:c>
      <x:c r="F63" s="143" t="str">
        <x:v>sanitized_public_inventory_reference</x:v>
      </x:c>
      <x:c r="G63" s="143" t="str">
        <x:v>New</x:v>
      </x:c>
      <x:c r="H63" s="145" t="n">
        <x:v>2026</x:v>
      </x:c>
      <x:c r="I63" s="143" t="str">
        <x:v>Chevrolet</x:v>
      </x:c>
      <x:c r="J63" s="143" t="str">
        <x:v>Silverado 1500</x:v>
      </x:c>
      <x:c r="K63" s="143" t="str">
        <x:v>LT (2FL)</x:v>
      </x:c>
      <x:c r="L63" s="143" t="str">
        <x:v>2026 Chevrolet Silverado 1500 LT (2FL)</x:v>
      </x:c>
      <x:c r="M63" s="146" t="n">
        <x:v>4</x:v>
      </x:c>
      <x:c r="N63" s="147" t="n">
        <x:v>49304</x:v>
      </x:c>
      <x:c r="O63" s="143" t="str">
        <x:v>Listed</x:v>
      </x:c>
      <x:c r="P63" s="143" t="str">
        <x:v>VEH-9D70F3DE7BAF</x:v>
      </x:c>
      <x:c r="Q63" s="143" t="str">
        <x:v>ARPI9D70F3DE7BAF3</x:v>
      </x:c>
      <x:c r="R63" s="145" t="n">
        <x:v>1</x:v>
      </x:c>
      <x:c r="S63" s="143" t="str">
        <x:v>Sanitized public reference data</x:v>
      </x:c>
    </x:row>
    <x:row r="64" ht="19" customHeight="1">
      <x:c r="A64" s="143" t="str">
        <x:v>GSA001-20260802-0063</x:v>
      </x:c>
      <x:c r="B64" s="143" t="str">
        <x:v>GSA-001</x:v>
      </x:c>
      <x:c r="C64" s="143" t="str">
        <x:v>Granite Chevrolet of Nashua</x:v>
      </x:c>
      <x:c r="D64" s="144" t="n">
        <x:v>46236</x:v>
      </x:c>
      <x:c r="E64" s="143" t="str">
        <x:v>GSA001-20260802-001</x:v>
      </x:c>
      <x:c r="F64" s="143" t="str">
        <x:v>sanitized_public_inventory_reference</x:v>
      </x:c>
      <x:c r="G64" s="143" t="str">
        <x:v>New</x:v>
      </x:c>
      <x:c r="H64" s="145" t="n">
        <x:v>2026</x:v>
      </x:c>
      <x:c r="I64" s="143" t="str">
        <x:v>Chevrolet</x:v>
      </x:c>
      <x:c r="J64" s="143" t="str">
        <x:v>Trax</x:v>
      </x:c>
      <x:c r="K64" s="143" t="str">
        <x:v>1RS</x:v>
      </x:c>
      <x:c r="L64" s="143" t="str">
        <x:v>2026 Chevrolet Trax 1RS</x:v>
      </x:c>
      <x:c r="M64" s="146" t="n">
        <x:v>4</x:v>
      </x:c>
      <x:c r="N64" s="147" t="n">
        <x:v>25246</x:v>
      </x:c>
      <x:c r="O64" s="143" t="str">
        <x:v>Listed</x:v>
      </x:c>
      <x:c r="P64" s="143" t="str">
        <x:v>VEH-BCEFFA354EE4</x:v>
      </x:c>
      <x:c r="Q64" s="143" t="str">
        <x:v>ARPIBCEFFA354EE44</x:v>
      </x:c>
      <x:c r="R64" s="145" t="n">
        <x:v>1</x:v>
      </x:c>
      <x:c r="S64" s="143" t="str">
        <x:v>Sanitized public reference data</x:v>
      </x:c>
    </x:row>
    <x:row r="65" ht="19" customHeight="1">
      <x:c r="A65" s="143" t="str">
        <x:v>GSA001-20260802-0064</x:v>
      </x:c>
      <x:c r="B65" s="143" t="str">
        <x:v>GSA-001</x:v>
      </x:c>
      <x:c r="C65" s="143" t="str">
        <x:v>Granite Chevrolet of Nashua</x:v>
      </x:c>
      <x:c r="D65" s="144" t="n">
        <x:v>46236</x:v>
      </x:c>
      <x:c r="E65" s="143" t="str">
        <x:v>GSA001-20260802-001</x:v>
      </x:c>
      <x:c r="F65" s="143" t="str">
        <x:v>sanitized_public_inventory_reference</x:v>
      </x:c>
      <x:c r="G65" s="143" t="str">
        <x:v>New</x:v>
      </x:c>
      <x:c r="H65" s="145" t="n">
        <x:v>2026</x:v>
      </x:c>
      <x:c r="I65" s="143" t="str">
        <x:v>Chevrolet</x:v>
      </x:c>
      <x:c r="J65" s="143" t="str">
        <x:v>Silverado 2500 HD</x:v>
      </x:c>
      <x:c r="K65" s="143" t="str">
        <x:v>LT</x:v>
      </x:c>
      <x:c r="L65" s="143" t="str">
        <x:v>2026 Chevrolet Silverado 2500 HD LT</x:v>
      </x:c>
      <x:c r="M65" s="146" t="n">
        <x:v>4</x:v>
      </x:c>
      <x:c r="N65" s="147" t="n">
        <x:v>72678</x:v>
      </x:c>
      <x:c r="O65" s="143" t="str">
        <x:v>Listed</x:v>
      </x:c>
      <x:c r="P65" s="143" t="str">
        <x:v>VEH-7880DD028989</x:v>
      </x:c>
      <x:c r="Q65" s="143" t="str">
        <x:v>ARPI7880DD0289891</x:v>
      </x:c>
      <x:c r="R65" s="145" t="n">
        <x:v>1</x:v>
      </x:c>
      <x:c r="S65" s="143" t="str">
        <x:v>Sanitized public reference data</x:v>
      </x:c>
    </x:row>
    <x:row r="66" ht="19" customHeight="1">
      <x:c r="A66" s="143" t="str">
        <x:v>GSA001-20260802-0065</x:v>
      </x:c>
      <x:c r="B66" s="143" t="str">
        <x:v>GSA-001</x:v>
      </x:c>
      <x:c r="C66" s="143" t="str">
        <x:v>Granite Chevrolet of Nashua</x:v>
      </x:c>
      <x:c r="D66" s="144" t="n">
        <x:v>46236</x:v>
      </x:c>
      <x:c r="E66" s="143" t="str">
        <x:v>GSA001-20260802-001</x:v>
      </x:c>
      <x:c r="F66" s="143" t="str">
        <x:v>sanitized_public_inventory_reference</x:v>
      </x:c>
      <x:c r="G66" s="143" t="str">
        <x:v>New</x:v>
      </x:c>
      <x:c r="H66" s="145" t="n">
        <x:v>2026</x:v>
      </x:c>
      <x:c r="I66" s="143" t="str">
        <x:v>Chevrolet</x:v>
      </x:c>
      <x:c r="J66" s="143" t="str">
        <x:v>Equinox</x:v>
      </x:c>
      <x:c r="K66" s="143" t="str">
        <x:v>LT</x:v>
      </x:c>
      <x:c r="L66" s="143" t="str">
        <x:v>2026 Chevrolet Equinox LT</x:v>
      </x:c>
      <x:c r="M66" s="146" t="n">
        <x:v>4</x:v>
      </x:c>
      <x:c r="N66" s="147" t="n">
        <x:v>34472</x:v>
      </x:c>
      <x:c r="O66" s="143" t="str">
        <x:v>Listed</x:v>
      </x:c>
      <x:c r="P66" s="143" t="str">
        <x:v>VEH-A1EE262F5998</x:v>
      </x:c>
      <x:c r="Q66" s="143" t="str">
        <x:v>ARPIA1EE262F59989</x:v>
      </x:c>
      <x:c r="R66" s="145" t="n">
        <x:v>1</x:v>
      </x:c>
      <x:c r="S66" s="143" t="str">
        <x:v>Sanitized public reference data</x:v>
      </x:c>
    </x:row>
    <x:row r="67" ht="19" customHeight="1">
      <x:c r="A67" s="143" t="str">
        <x:v>GSA001-20260802-0066</x:v>
      </x:c>
      <x:c r="B67" s="143" t="str">
        <x:v>GSA-001</x:v>
      </x:c>
      <x:c r="C67" s="143" t="str">
        <x:v>Granite Chevrolet of Nashua</x:v>
      </x:c>
      <x:c r="D67" s="144" t="n">
        <x:v>46236</x:v>
      </x:c>
      <x:c r="E67" s="143" t="str">
        <x:v>GSA001-20260802-001</x:v>
      </x:c>
      <x:c r="F67" s="143" t="str">
        <x:v>sanitized_public_inventory_reference</x:v>
      </x:c>
      <x:c r="G67" s="143" t="str">
        <x:v>New</x:v>
      </x:c>
      <x:c r="H67" s="145" t="n">
        <x:v>2026</x:v>
      </x:c>
      <x:c r="I67" s="143" t="str">
        <x:v>Chevrolet</x:v>
      </x:c>
      <x:c r="J67" s="143" t="str">
        <x:v>Equinox</x:v>
      </x:c>
      <x:c r="K67" s="143" t="str">
        <x:v>LT</x:v>
      </x:c>
      <x:c r="L67" s="143" t="str">
        <x:v>2026 Chevrolet Equinox LT</x:v>
      </x:c>
      <x:c r="M67" s="146" t="n">
        <x:v>4</x:v>
      </x:c>
      <x:c r="N67" s="147" t="n">
        <x:v>34621</x:v>
      </x:c>
      <x:c r="O67" s="143" t="str">
        <x:v>Listed</x:v>
      </x:c>
      <x:c r="P67" s="143" t="str">
        <x:v>VEH-95EA25D50E93</x:v>
      </x:c>
      <x:c r="Q67" s="143" t="str">
        <x:v>ARPI95EA25D50E93F</x:v>
      </x:c>
      <x:c r="R67" s="145" t="n">
        <x:v>1</x:v>
      </x:c>
      <x:c r="S67" s="143" t="str">
        <x:v>Sanitized public reference data</x:v>
      </x:c>
    </x:row>
    <x:row r="68" ht="19" customHeight="1">
      <x:c r="A68" s="143" t="str">
        <x:v>GSA001-20260802-0067</x:v>
      </x:c>
      <x:c r="B68" s="143" t="str">
        <x:v>GSA-001</x:v>
      </x:c>
      <x:c r="C68" s="143" t="str">
        <x:v>Granite Chevrolet of Nashua</x:v>
      </x:c>
      <x:c r="D68" s="144" t="n">
        <x:v>46236</x:v>
      </x:c>
      <x:c r="E68" s="143" t="str">
        <x:v>GSA001-20260802-001</x:v>
      </x:c>
      <x:c r="F68" s="143" t="str">
        <x:v>sanitized_public_inventory_reference</x:v>
      </x:c>
      <x:c r="G68" s="143" t="str">
        <x:v>New</x:v>
      </x:c>
      <x:c r="H68" s="145" t="n">
        <x:v>2026</x:v>
      </x:c>
      <x:c r="I68" s="143" t="str">
        <x:v>Chevrolet</x:v>
      </x:c>
      <x:c r="J68" s="143" t="str">
        <x:v>Traverse</x:v>
      </x:c>
      <x:c r="K68" s="143" t="str">
        <x:v>Z71</x:v>
      </x:c>
      <x:c r="L68" s="143" t="str">
        <x:v>2026 Chevrolet Traverse Z71</x:v>
      </x:c>
      <x:c r="M68" s="146" t="n">
        <x:v>4</x:v>
      </x:c>
      <x:c r="N68" s="147" t="n">
        <x:v>50567</x:v>
      </x:c>
      <x:c r="O68" s="143" t="str">
        <x:v>Listed</x:v>
      </x:c>
      <x:c r="P68" s="143" t="str">
        <x:v>VEH-8E203B672022</x:v>
      </x:c>
      <x:c r="Q68" s="143" t="str">
        <x:v>ARPI8E203B6720228</x:v>
      </x:c>
      <x:c r="R68" s="145" t="n">
        <x:v>1</x:v>
      </x:c>
      <x:c r="S68" s="143" t="str">
        <x:v>Sanitized public reference data</x:v>
      </x:c>
    </x:row>
    <x:row r="69" ht="19" customHeight="1">
      <x:c r="A69" s="143" t="str">
        <x:v>GSA001-20260802-0068</x:v>
      </x:c>
      <x:c r="B69" s="143" t="str">
        <x:v>GSA-001</x:v>
      </x:c>
      <x:c r="C69" s="143" t="str">
        <x:v>Granite Chevrolet of Nashua</x:v>
      </x:c>
      <x:c r="D69" s="144" t="n">
        <x:v>46236</x:v>
      </x:c>
      <x:c r="E69" s="143" t="str">
        <x:v>GSA001-20260802-001</x:v>
      </x:c>
      <x:c r="F69" s="143" t="str">
        <x:v>sanitized_public_inventory_reference</x:v>
      </x:c>
      <x:c r="G69" s="143" t="str">
        <x:v>New</x:v>
      </x:c>
      <x:c r="H69" s="145" t="n">
        <x:v>2026</x:v>
      </x:c>
      <x:c r="I69" s="143" t="str">
        <x:v>Chevrolet</x:v>
      </x:c>
      <x:c r="J69" s="143" t="str">
        <x:v>Equinox</x:v>
      </x:c>
      <x:c r="K69" s="143" t="str">
        <x:v>LT</x:v>
      </x:c>
      <x:c r="L69" s="143" t="str">
        <x:v>2026 Chevrolet Equinox LT</x:v>
      </x:c>
      <x:c r="M69" s="146" t="n">
        <x:v>4</x:v>
      </x:c>
      <x:c r="N69" s="147" t="n">
        <x:v>34472</x:v>
      </x:c>
      <x:c r="O69" s="143" t="str">
        <x:v>Listed</x:v>
      </x:c>
      <x:c r="P69" s="143" t="str">
        <x:v>VEH-B951FA99D648</x:v>
      </x:c>
      <x:c r="Q69" s="143" t="str">
        <x:v>ARPIB951FA99D648A</x:v>
      </x:c>
      <x:c r="R69" s="145" t="n">
        <x:v>1</x:v>
      </x:c>
      <x:c r="S69" s="143" t="str">
        <x:v>Sanitized public reference data</x:v>
      </x:c>
    </x:row>
    <x:row r="70" ht="19" customHeight="1">
      <x:c r="A70" s="143" t="str">
        <x:v>GSA001-20260802-0069</x:v>
      </x:c>
      <x:c r="B70" s="143" t="str">
        <x:v>GSA-001</x:v>
      </x:c>
      <x:c r="C70" s="143" t="str">
        <x:v>Granite Chevrolet of Nashua</x:v>
      </x:c>
      <x:c r="D70" s="144" t="n">
        <x:v>46236</x:v>
      </x:c>
      <x:c r="E70" s="143" t="str">
        <x:v>GSA001-20260802-001</x:v>
      </x:c>
      <x:c r="F70" s="143" t="str">
        <x:v>sanitized_public_inventory_reference</x:v>
      </x:c>
      <x:c r="G70" s="143" t="str">
        <x:v>New</x:v>
      </x:c>
      <x:c r="H70" s="145" t="n">
        <x:v>2026</x:v>
      </x:c>
      <x:c r="I70" s="143" t="str">
        <x:v>Chevrolet</x:v>
      </x:c>
      <x:c r="J70" s="143" t="str">
        <x:v>Colorado</x:v>
      </x:c>
      <x:c r="K70" s="143" t="str">
        <x:v>LT</x:v>
      </x:c>
      <x:c r="L70" s="143" t="str">
        <x:v>2026 Chevrolet Colorado LT</x:v>
      </x:c>
      <x:c r="M70" s="146" t="n">
        <x:v>4</x:v>
      </x:c>
      <x:c r="N70" s="147" t="n">
        <x:v>43342</x:v>
      </x:c>
      <x:c r="O70" s="143" t="str">
        <x:v>Listed</x:v>
      </x:c>
      <x:c r="P70" s="143" t="str">
        <x:v>VEH-42C46D86E9AA</x:v>
      </x:c>
      <x:c r="Q70" s="143" t="str">
        <x:v>ARPI42C46D86E9AAC</x:v>
      </x:c>
      <x:c r="R70" s="145" t="n">
        <x:v>1</x:v>
      </x:c>
      <x:c r="S70" s="143" t="str">
        <x:v>Sanitized public reference data</x:v>
      </x:c>
    </x:row>
    <x:row r="71" ht="19" customHeight="1">
      <x:c r="A71" s="143" t="str">
        <x:v>GSA001-20260802-0070</x:v>
      </x:c>
      <x:c r="B71" s="143" t="str">
        <x:v>GSA-001</x:v>
      </x:c>
      <x:c r="C71" s="143" t="str">
        <x:v>Granite Chevrolet of Nashua</x:v>
      </x:c>
      <x:c r="D71" s="144" t="n">
        <x:v>46236</x:v>
      </x:c>
      <x:c r="E71" s="143" t="str">
        <x:v>GSA001-20260802-001</x:v>
      </x:c>
      <x:c r="F71" s="143" t="str">
        <x:v>sanitized_public_inventory_reference</x:v>
      </x:c>
      <x:c r="G71" s="143" t="str">
        <x:v>New</x:v>
      </x:c>
      <x:c r="H71" s="145" t="n">
        <x:v>2025</x:v>
      </x:c>
      <x:c r="I71" s="143" t="str">
        <x:v>Chevrolet</x:v>
      </x:c>
      <x:c r="J71" s="143" t="str">
        <x:v>Low Cab Forward 4500 HG</x:v>
      </x:c>
      <x:c r="K71" s="143" t="str">
        <x:v>BASE</x:v>
      </x:c>
      <x:c r="L71" s="143" t="str">
        <x:v>2025 Chevrolet Low Cab Forward 4500 HG BASE</x:v>
      </x:c>
      <x:c r="M71" s="146" t="n">
        <x:v>5</x:v>
      </x:c>
      <x:c r="N71" s="147" t="n">
        <x:v>73748</x:v>
      </x:c>
      <x:c r="O71" s="143" t="str">
        <x:v>Listed</x:v>
      </x:c>
      <x:c r="P71" s="143" t="str">
        <x:v>VEH-CD55C44929C7</x:v>
      </x:c>
      <x:c r="Q71" s="143" t="str">
        <x:v>ARPICD55C44929C7B</x:v>
      </x:c>
      <x:c r="R71" s="145" t="n">
        <x:v>1</x:v>
      </x:c>
      <x:c r="S71" s="143" t="str">
        <x:v>Sanitized public reference data</x:v>
      </x:c>
    </x:row>
    <x:row r="72" ht="19" customHeight="1">
      <x:c r="A72" s="143" t="str">
        <x:v>GSA001-20260802-0071</x:v>
      </x:c>
      <x:c r="B72" s="143" t="str">
        <x:v>GSA-001</x:v>
      </x:c>
      <x:c r="C72" s="143" t="str">
        <x:v>Granite Chevrolet of Nashua</x:v>
      </x:c>
      <x:c r="D72" s="144" t="n">
        <x:v>46236</x:v>
      </x:c>
      <x:c r="E72" s="143" t="str">
        <x:v>GSA001-20260802-001</x:v>
      </x:c>
      <x:c r="F72" s="143" t="str">
        <x:v>sanitized_public_inventory_reference</x:v>
      </x:c>
      <x:c r="G72" s="143" t="str">
        <x:v>New</x:v>
      </x:c>
      <x:c r="H72" s="145" t="n">
        <x:v>2026</x:v>
      </x:c>
      <x:c r="I72" s="143" t="str">
        <x:v>Chevrolet</x:v>
      </x:c>
      <x:c r="J72" s="143" t="str">
        <x:v>Silverado 2500 HD</x:v>
      </x:c>
      <x:c r="K72" s="143" t="str">
        <x:v>LT</x:v>
      </x:c>
      <x:c r="L72" s="143" t="str">
        <x:v>2026 Chevrolet Silverado 2500 HD LT</x:v>
      </x:c>
      <x:c r="M72" s="146" t="n">
        <x:v>4</x:v>
      </x:c>
      <x:c r="N72" s="147" t="n">
        <x:v>72036</x:v>
      </x:c>
      <x:c r="O72" s="143" t="str">
        <x:v>Listed</x:v>
      </x:c>
      <x:c r="P72" s="143" t="str">
        <x:v>VEH-A6B579BFF14A</x:v>
      </x:c>
      <x:c r="Q72" s="143" t="str">
        <x:v>ARPIA6B579BFF14A9</x:v>
      </x:c>
      <x:c r="R72" s="145" t="n">
        <x:v>1</x:v>
      </x:c>
      <x:c r="S72" s="143" t="str">
        <x:v>Sanitized public reference data</x:v>
      </x:c>
    </x:row>
    <x:row r="73" ht="19" customHeight="1">
      <x:c r="A73" s="143" t="str">
        <x:v>GSA001-20260802-0072</x:v>
      </x:c>
      <x:c r="B73" s="143" t="str">
        <x:v>GSA-001</x:v>
      </x:c>
      <x:c r="C73" s="143" t="str">
        <x:v>Granite Chevrolet of Nashua</x:v>
      </x:c>
      <x:c r="D73" s="144" t="n">
        <x:v>46236</x:v>
      </x:c>
      <x:c r="E73" s="143" t="str">
        <x:v>GSA001-20260802-001</x:v>
      </x:c>
      <x:c r="F73" s="143" t="str">
        <x:v>sanitized_public_inventory_reference</x:v>
      </x:c>
      <x:c r="G73" s="143" t="str">
        <x:v>New</x:v>
      </x:c>
      <x:c r="H73" s="145" t="n">
        <x:v>2026</x:v>
      </x:c>
      <x:c r="I73" s="143" t="str">
        <x:v>Chevrolet</x:v>
      </x:c>
      <x:c r="J73" s="143" t="str">
        <x:v>Trailblazer</x:v>
      </x:c>
      <x:c r="K73" s="143" t="str">
        <x:v>LT</x:v>
      </x:c>
      <x:c r="L73" s="143" t="str">
        <x:v>2026 Chevrolet Trailblazer LT</x:v>
      </x:c>
      <x:c r="M73" s="146" t="n">
        <x:v>6</x:v>
      </x:c>
      <x:c r="N73" s="147" t="n">
        <x:v>28483</x:v>
      </x:c>
      <x:c r="O73" s="143" t="str">
        <x:v>Listed</x:v>
      </x:c>
      <x:c r="P73" s="143" t="str">
        <x:v>VEH-BA6380930CE6</x:v>
      </x:c>
      <x:c r="Q73" s="143" t="str">
        <x:v>ARPIBA6380930CE68</x:v>
      </x:c>
      <x:c r="R73" s="145" t="n">
        <x:v>1</x:v>
      </x:c>
      <x:c r="S73" s="143" t="str">
        <x:v>Sanitized public reference data</x:v>
      </x:c>
    </x:row>
    <x:row r="74" ht="19" customHeight="1">
      <x:c r="A74" s="143" t="str">
        <x:v>GSA001-20260802-0073</x:v>
      </x:c>
      <x:c r="B74" s="143" t="str">
        <x:v>GSA-001</x:v>
      </x:c>
      <x:c r="C74" s="143" t="str">
        <x:v>Granite Chevrolet of Nashua</x:v>
      </x:c>
      <x:c r="D74" s="144" t="n">
        <x:v>46236</x:v>
      </x:c>
      <x:c r="E74" s="143" t="str">
        <x:v>GSA001-20260802-001</x:v>
      </x:c>
      <x:c r="F74" s="143" t="str">
        <x:v>sanitized_public_inventory_reference</x:v>
      </x:c>
      <x:c r="G74" s="143" t="str">
        <x:v>New</x:v>
      </x:c>
      <x:c r="H74" s="145" t="n">
        <x:v>2026</x:v>
      </x:c>
      <x:c r="I74" s="143" t="str">
        <x:v>Chevrolet</x:v>
      </x:c>
      <x:c r="J74" s="143" t="str">
        <x:v>Equinox</x:v>
      </x:c>
      <x:c r="K74" s="143" t="str">
        <x:v>LT</x:v>
      </x:c>
      <x:c r="L74" s="143" t="str">
        <x:v>2026 Chevrolet Equinox LT</x:v>
      </x:c>
      <x:c r="M74" s="146" t="n">
        <x:v>4</x:v>
      </x:c>
      <x:c r="N74" s="147" t="n">
        <x:v>34498</x:v>
      </x:c>
      <x:c r="O74" s="143" t="str">
        <x:v>Listed</x:v>
      </x:c>
      <x:c r="P74" s="143" t="str">
        <x:v>VEH-AC3B9BD4CB44</x:v>
      </x:c>
      <x:c r="Q74" s="143" t="str">
        <x:v>ARPIAC3B9BD4CB448</x:v>
      </x:c>
      <x:c r="R74" s="145" t="n">
        <x:v>1</x:v>
      </x:c>
      <x:c r="S74" s="143" t="str">
        <x:v>Sanitized public reference data</x:v>
      </x:c>
    </x:row>
    <x:row r="75" ht="19" customHeight="1">
      <x:c r="A75" s="143" t="str">
        <x:v>GSA001-20260802-0074</x:v>
      </x:c>
      <x:c r="B75" s="143" t="str">
        <x:v>GSA-001</x:v>
      </x:c>
      <x:c r="C75" s="143" t="str">
        <x:v>Granite Chevrolet of Nashua</x:v>
      </x:c>
      <x:c r="D75" s="144" t="n">
        <x:v>46236</x:v>
      </x:c>
      <x:c r="E75" s="143" t="str">
        <x:v>GSA001-20260802-001</x:v>
      </x:c>
      <x:c r="F75" s="143" t="str">
        <x:v>sanitized_public_inventory_reference</x:v>
      </x:c>
      <x:c r="G75" s="143" t="str">
        <x:v>New</x:v>
      </x:c>
      <x:c r="H75" s="145" t="n">
        <x:v>2026</x:v>
      </x:c>
      <x:c r="I75" s="143" t="str">
        <x:v>Chevrolet</x:v>
      </x:c>
      <x:c r="J75" s="143" t="str">
        <x:v>Equinox</x:v>
      </x:c>
      <x:c r="K75" s="143" t="str">
        <x:v>LT</x:v>
      </x:c>
      <x:c r="L75" s="143" t="str">
        <x:v>2026 Chevrolet Equinox LT</x:v>
      </x:c>
      <x:c r="M75" s="146" t="n">
        <x:v>4</x:v>
      </x:c>
      <x:c r="N75" s="147" t="n">
        <x:v>34498</x:v>
      </x:c>
      <x:c r="O75" s="143" t="str">
        <x:v>Listed</x:v>
      </x:c>
      <x:c r="P75" s="143" t="str">
        <x:v>VEH-C3E72EF39340</x:v>
      </x:c>
      <x:c r="Q75" s="143" t="str">
        <x:v>ARPIC3E72EF393406</x:v>
      </x:c>
      <x:c r="R75" s="145" t="n">
        <x:v>1</x:v>
      </x:c>
      <x:c r="S75" s="143" t="str">
        <x:v>Sanitized public reference data</x:v>
      </x:c>
    </x:row>
    <x:row r="76" ht="19" customHeight="1">
      <x:c r="A76" s="143" t="str">
        <x:v>GSA001-20260802-0075</x:v>
      </x:c>
      <x:c r="B76" s="143" t="str">
        <x:v>GSA-001</x:v>
      </x:c>
      <x:c r="C76" s="143" t="str">
        <x:v>Granite Chevrolet of Nashua</x:v>
      </x:c>
      <x:c r="D76" s="144" t="n">
        <x:v>46236</x:v>
      </x:c>
      <x:c r="E76" s="143" t="str">
        <x:v>GSA001-20260802-001</x:v>
      </x:c>
      <x:c r="F76" s="143" t="str">
        <x:v>sanitized_public_inventory_reference</x:v>
      </x:c>
      <x:c r="G76" s="143" t="str">
        <x:v>New</x:v>
      </x:c>
      <x:c r="H76" s="145" t="n">
        <x:v>2026</x:v>
      </x:c>
      <x:c r="I76" s="143" t="str">
        <x:v>Chevrolet</x:v>
      </x:c>
      <x:c r="J76" s="143" t="str">
        <x:v>Suburban</x:v>
      </x:c>
      <x:c r="K76" s="143" t="str">
        <x:v>LS</x:v>
      </x:c>
      <x:c r="L76" s="143" t="str">
        <x:v>2026 Chevrolet Suburban LS</x:v>
      </x:c>
      <x:c r="M76" s="146" t="n">
        <x:v>4</x:v>
      </x:c>
      <x:c r="N76" s="147" t="n">
        <x:v>65943</x:v>
      </x:c>
      <x:c r="O76" s="143" t="str">
        <x:v>Listed</x:v>
      </x:c>
      <x:c r="P76" s="143" t="str">
        <x:v>VEH-32B089347FBF</x:v>
      </x:c>
      <x:c r="Q76" s="143" t="str">
        <x:v>ARPI32B089347FBF9</x:v>
      </x:c>
      <x:c r="R76" s="145" t="n">
        <x:v>1</x:v>
      </x:c>
      <x:c r="S76" s="143" t="str">
        <x:v>Sanitized public reference data</x:v>
      </x:c>
    </x:row>
    <x:row r="77" ht="19" customHeight="1">
      <x:c r="A77" s="143" t="str">
        <x:v>GSA001-20260802-0076</x:v>
      </x:c>
      <x:c r="B77" s="143" t="str">
        <x:v>GSA-001</x:v>
      </x:c>
      <x:c r="C77" s="143" t="str">
        <x:v>Granite Chevrolet of Nashua</x:v>
      </x:c>
      <x:c r="D77" s="144" t="n">
        <x:v>46236</x:v>
      </x:c>
      <x:c r="E77" s="143" t="str">
        <x:v>GSA001-20260802-001</x:v>
      </x:c>
      <x:c r="F77" s="143" t="str">
        <x:v>sanitized_public_inventory_reference</x:v>
      </x:c>
      <x:c r="G77" s="143" t="str">
        <x:v>New</x:v>
      </x:c>
      <x:c r="H77" s="145" t="n">
        <x:v>2026</x:v>
      </x:c>
      <x:c r="I77" s="143" t="str">
        <x:v>Chevrolet</x:v>
      </x:c>
      <x:c r="J77" s="143" t="str">
        <x:v>Silverado 1500</x:v>
      </x:c>
      <x:c r="K77" s="143" t="str">
        <x:v>LT (2FL)</x:v>
      </x:c>
      <x:c r="L77" s="143" t="str">
        <x:v>2026 Chevrolet Silverado 1500 LT (2FL)</x:v>
      </x:c>
      <x:c r="M77" s="146" t="n">
        <x:v>4</x:v>
      </x:c>
      <x:c r="N77" s="147" t="n">
        <x:v>48948</x:v>
      </x:c>
      <x:c r="O77" s="143" t="str">
        <x:v>Listed</x:v>
      </x:c>
      <x:c r="P77" s="143" t="str">
        <x:v>VEH-48EC39DDC186</x:v>
      </x:c>
      <x:c r="Q77" s="143" t="str">
        <x:v>ARPI48EC39DDC186D</x:v>
      </x:c>
      <x:c r="R77" s="145" t="n">
        <x:v>1</x:v>
      </x:c>
      <x:c r="S77" s="143" t="str">
        <x:v>Sanitized public reference data</x:v>
      </x:c>
    </x:row>
    <x:row r="78" ht="19" customHeight="1">
      <x:c r="A78" s="143" t="str">
        <x:v>GSA001-20260802-0077</x:v>
      </x:c>
      <x:c r="B78" s="143" t="str">
        <x:v>GSA-001</x:v>
      </x:c>
      <x:c r="C78" s="143" t="str">
        <x:v>Granite Chevrolet of Nashua</x:v>
      </x:c>
      <x:c r="D78" s="144" t="n">
        <x:v>46236</x:v>
      </x:c>
      <x:c r="E78" s="143" t="str">
        <x:v>GSA001-20260802-001</x:v>
      </x:c>
      <x:c r="F78" s="143" t="str">
        <x:v>sanitized_public_inventory_reference</x:v>
      </x:c>
      <x:c r="G78" s="143" t="str">
        <x:v>New</x:v>
      </x:c>
      <x:c r="H78" s="145" t="n">
        <x:v>2026</x:v>
      </x:c>
      <x:c r="I78" s="143" t="str">
        <x:v>Chevrolet</x:v>
      </x:c>
      <x:c r="J78" s="143" t="str">
        <x:v>Suburban</x:v>
      </x:c>
      <x:c r="K78" s="143" t="str">
        <x:v>Premier</x:v>
      </x:c>
      <x:c r="L78" s="143" t="str">
        <x:v>2026 Chevrolet Suburban Premier</x:v>
      </x:c>
      <x:c r="M78" s="146" t="n">
        <x:v>3</x:v>
      </x:c>
      <x:c r="N78" s="147" t="n">
        <x:v>86830</x:v>
      </x:c>
      <x:c r="O78" s="143" t="str">
        <x:v>Listed</x:v>
      </x:c>
      <x:c r="P78" s="143" t="str">
        <x:v>VEH-31CCDCD7B913</x:v>
      </x:c>
      <x:c r="Q78" s="143" t="str">
        <x:v>ARPI31CCDCD7B9139</x:v>
      </x:c>
      <x:c r="R78" s="145" t="n">
        <x:v>1</x:v>
      </x:c>
      <x:c r="S78" s="143" t="str">
        <x:v>Sanitized public reference data</x:v>
      </x:c>
    </x:row>
    <x:row r="79" ht="19" customHeight="1">
      <x:c r="A79" s="143" t="str">
        <x:v>GSA001-20260802-0078</x:v>
      </x:c>
      <x:c r="B79" s="143" t="str">
        <x:v>GSA-001</x:v>
      </x:c>
      <x:c r="C79" s="143" t="str">
        <x:v>Granite Chevrolet of Nashua</x:v>
      </x:c>
      <x:c r="D79" s="144" t="n">
        <x:v>46236</x:v>
      </x:c>
      <x:c r="E79" s="143" t="str">
        <x:v>GSA001-20260802-001</x:v>
      </x:c>
      <x:c r="F79" s="143" t="str">
        <x:v>sanitized_public_inventory_reference</x:v>
      </x:c>
      <x:c r="G79" s="143" t="str">
        <x:v>New</x:v>
      </x:c>
      <x:c r="H79" s="145" t="n">
        <x:v>2026</x:v>
      </x:c>
      <x:c r="I79" s="143" t="str">
        <x:v>Chevrolet</x:v>
      </x:c>
      <x:c r="J79" s="143" t="str">
        <x:v>Silverado 1500</x:v>
      </x:c>
      <x:c r="K79" s="143" t="str">
        <x:v>High Country</x:v>
      </x:c>
      <x:c r="L79" s="143" t="str">
        <x:v>2026 Chevrolet Silverado 1500 High Country</x:v>
      </x:c>
      <x:c r="M79" s="146" t="n">
        <x:v>4</x:v>
      </x:c>
      <x:c r="N79" s="147" t="n">
        <x:v>70057</x:v>
      </x:c>
      <x:c r="O79" s="143" t="str">
        <x:v>Listed</x:v>
      </x:c>
      <x:c r="P79" s="143" t="str">
        <x:v>VEH-FCE09D09E5CF</x:v>
      </x:c>
      <x:c r="Q79" s="143" t="str">
        <x:v>ARPIFCE09D09E5CF5</x:v>
      </x:c>
      <x:c r="R79" s="145" t="n">
        <x:v>1</x:v>
      </x:c>
      <x:c r="S79" s="143" t="str">
        <x:v>Sanitized public reference data</x:v>
      </x:c>
    </x:row>
    <x:row r="80" ht="19" customHeight="1">
      <x:c r="A80" s="143" t="str">
        <x:v>GSA001-20260802-0079</x:v>
      </x:c>
      <x:c r="B80" s="143" t="str">
        <x:v>GSA-001</x:v>
      </x:c>
      <x:c r="C80" s="143" t="str">
        <x:v>Granite Chevrolet of Nashua</x:v>
      </x:c>
      <x:c r="D80" s="144" t="n">
        <x:v>46236</x:v>
      </x:c>
      <x:c r="E80" s="143" t="str">
        <x:v>GSA001-20260802-001</x:v>
      </x:c>
      <x:c r="F80" s="143" t="str">
        <x:v>sanitized_public_inventory_reference</x:v>
      </x:c>
      <x:c r="G80" s="143" t="str">
        <x:v>New</x:v>
      </x:c>
      <x:c r="H80" s="145" t="n">
        <x:v>2026</x:v>
      </x:c>
      <x:c r="I80" s="143" t="str">
        <x:v>Chevrolet</x:v>
      </x:c>
      <x:c r="J80" s="143" t="str">
        <x:v>Colorado</x:v>
      </x:c>
      <x:c r="K80" s="143" t="str">
        <x:v>LT</x:v>
      </x:c>
      <x:c r="L80" s="143" t="str">
        <x:v>2026 Chevrolet Colorado LT</x:v>
      </x:c>
      <x:c r="M80" s="146" t="n">
        <x:v>4</x:v>
      </x:c>
      <x:c r="N80" s="147" t="n">
        <x:v>43342</x:v>
      </x:c>
      <x:c r="O80" s="143" t="str">
        <x:v>Listed</x:v>
      </x:c>
      <x:c r="P80" s="143" t="str">
        <x:v>VEH-1F803D8C1E1D</x:v>
      </x:c>
      <x:c r="Q80" s="143" t="str">
        <x:v>ARPI1F803D8C1E1D1</x:v>
      </x:c>
      <x:c r="R80" s="145" t="n">
        <x:v>1</x:v>
      </x:c>
      <x:c r="S80" s="143" t="str">
        <x:v>Sanitized public reference data</x:v>
      </x:c>
    </x:row>
    <x:row r="81" ht="19" customHeight="1">
      <x:c r="A81" s="143" t="str">
        <x:v>GSA001-20260802-0080</x:v>
      </x:c>
      <x:c r="B81" s="143" t="str">
        <x:v>GSA-001</x:v>
      </x:c>
      <x:c r="C81" s="143" t="str">
        <x:v>Granite Chevrolet of Nashua</x:v>
      </x:c>
      <x:c r="D81" s="144" t="n">
        <x:v>46236</x:v>
      </x:c>
      <x:c r="E81" s="143" t="str">
        <x:v>GSA001-20260802-001</x:v>
      </x:c>
      <x:c r="F81" s="143" t="str">
        <x:v>sanitized_public_inventory_reference</x:v>
      </x:c>
      <x:c r="G81" s="143" t="str">
        <x:v>New</x:v>
      </x:c>
      <x:c r="H81" s="145" t="n">
        <x:v>2026</x:v>
      </x:c>
      <x:c r="I81" s="143" t="str">
        <x:v>Chevrolet</x:v>
      </x:c>
      <x:c r="J81" s="143" t="str">
        <x:v>Equinox</x:v>
      </x:c>
      <x:c r="K81" s="143" t="str">
        <x:v>LT</x:v>
      </x:c>
      <x:c r="L81" s="143" t="str">
        <x:v>2026 Chevrolet Equinox LT</x:v>
      </x:c>
      <x:c r="M81" s="146" t="n">
        <x:v>4</x:v>
      </x:c>
      <x:c r="N81" s="147" t="n">
        <x:v>32929</x:v>
      </x:c>
      <x:c r="O81" s="143" t="str">
        <x:v>Listed</x:v>
      </x:c>
      <x:c r="P81" s="143" t="str">
        <x:v>VEH-F6239697E558</x:v>
      </x:c>
      <x:c r="Q81" s="143" t="str">
        <x:v>ARPIF6239697E5587</x:v>
      </x:c>
      <x:c r="R81" s="145" t="n">
        <x:v>1</x:v>
      </x:c>
      <x:c r="S81" s="143" t="str">
        <x:v>Sanitized public reference data</x:v>
      </x:c>
    </x:row>
    <x:row r="82" ht="19" customHeight="1">
      <x:c r="A82" s="143" t="str">
        <x:v>GSA001-20260802-0081</x:v>
      </x:c>
      <x:c r="B82" s="143" t="str">
        <x:v>GSA-001</x:v>
      </x:c>
      <x:c r="C82" s="143" t="str">
        <x:v>Granite Chevrolet of Nashua</x:v>
      </x:c>
      <x:c r="D82" s="144" t="n">
        <x:v>46236</x:v>
      </x:c>
      <x:c r="E82" s="143" t="str">
        <x:v>GSA001-20260802-001</x:v>
      </x:c>
      <x:c r="F82" s="143" t="str">
        <x:v>sanitized_public_inventory_reference</x:v>
      </x:c>
      <x:c r="G82" s="143" t="str">
        <x:v>New</x:v>
      </x:c>
      <x:c r="H82" s="145" t="n">
        <x:v>2026</x:v>
      </x:c>
      <x:c r="I82" s="143" t="str">
        <x:v>Chevrolet</x:v>
      </x:c>
      <x:c r="J82" s="143" t="str">
        <x:v>Equinox</x:v>
      </x:c>
      <x:c r="K82" s="143" t="str">
        <x:v>LT</x:v>
      </x:c>
      <x:c r="L82" s="143" t="str">
        <x:v>2026 Chevrolet Equinox LT</x:v>
      </x:c>
      <x:c r="M82" s="146" t="n">
        <x:v>4</x:v>
      </x:c>
      <x:c r="N82" s="147" t="n">
        <x:v>34472</x:v>
      </x:c>
      <x:c r="O82" s="143" t="str">
        <x:v>Listed</x:v>
      </x:c>
      <x:c r="P82" s="143" t="str">
        <x:v>VEH-3C7F5C48665A</x:v>
      </x:c>
      <x:c r="Q82" s="143" t="str">
        <x:v>ARPI3C7F5C48665AB</x:v>
      </x:c>
      <x:c r="R82" s="145" t="n">
        <x:v>1</x:v>
      </x:c>
      <x:c r="S82" s="143" t="str">
        <x:v>Sanitized public reference data</x:v>
      </x:c>
    </x:row>
    <x:row r="83" ht="19" customHeight="1">
      <x:c r="A83" s="143" t="str">
        <x:v>GSA001-20260802-0082</x:v>
      </x:c>
      <x:c r="B83" s="143" t="str">
        <x:v>GSA-001</x:v>
      </x:c>
      <x:c r="C83" s="143" t="str">
        <x:v>Granite Chevrolet of Nashua</x:v>
      </x:c>
      <x:c r="D83" s="144" t="n">
        <x:v>46236</x:v>
      </x:c>
      <x:c r="E83" s="143" t="str">
        <x:v>GSA001-20260802-001</x:v>
      </x:c>
      <x:c r="F83" s="143" t="str">
        <x:v>sanitized_public_inventory_reference</x:v>
      </x:c>
      <x:c r="G83" s="143" t="str">
        <x:v>New</x:v>
      </x:c>
      <x:c r="H83" s="145" t="n">
        <x:v>2026</x:v>
      </x:c>
      <x:c r="I83" s="143" t="str">
        <x:v>Chevrolet</x:v>
      </x:c>
      <x:c r="J83" s="143" t="str">
        <x:v>Traverse</x:v>
      </x:c>
      <x:c r="K83" s="143" t="str">
        <x:v>LT</x:v>
      </x:c>
      <x:c r="L83" s="143" t="str">
        <x:v>2026 Chevrolet Traverse LT</x:v>
      </x:c>
      <x:c r="M83" s="146" t="n">
        <x:v>3</x:v>
      </x:c>
      <x:c r="N83" s="147" t="n">
        <x:v>41860</x:v>
      </x:c>
      <x:c r="O83" s="143" t="str">
        <x:v>Listed</x:v>
      </x:c>
      <x:c r="P83" s="143" t="str">
        <x:v>VEH-49E4B8A11E76</x:v>
      </x:c>
      <x:c r="Q83" s="143" t="str">
        <x:v>ARPI49E4B8A11E763</x:v>
      </x:c>
      <x:c r="R83" s="145" t="n">
        <x:v>1</x:v>
      </x:c>
      <x:c r="S83" s="143" t="str">
        <x:v>Sanitized public reference data</x:v>
      </x:c>
    </x:row>
    <x:row r="84" ht="19" customHeight="1">
      <x:c r="A84" s="143" t="str">
        <x:v>GSA001-20260802-0083</x:v>
      </x:c>
      <x:c r="B84" s="143" t="str">
        <x:v>GSA-001</x:v>
      </x:c>
      <x:c r="C84" s="143" t="str">
        <x:v>Granite Chevrolet of Nashua</x:v>
      </x:c>
      <x:c r="D84" s="144" t="n">
        <x:v>46236</x:v>
      </x:c>
      <x:c r="E84" s="143" t="str">
        <x:v>GSA001-20260802-001</x:v>
      </x:c>
      <x:c r="F84" s="143" t="str">
        <x:v>sanitized_public_inventory_reference</x:v>
      </x:c>
      <x:c r="G84" s="143" t="str">
        <x:v>New</x:v>
      </x:c>
      <x:c r="H84" s="145" t="n">
        <x:v>2026</x:v>
      </x:c>
      <x:c r="I84" s="143" t="str">
        <x:v>Chevrolet</x:v>
      </x:c>
      <x:c r="J84" s="143" t="str">
        <x:v>Silverado 3500 HD</x:v>
      </x:c>
      <x:c r="K84" s="143" t="str">
        <x:v>LT</x:v>
      </x:c>
      <x:c r="L84" s="143" t="str">
        <x:v>2026 Chevrolet Silverado 3500 HD LT</x:v>
      </x:c>
      <x:c r="M84" s="146" t="n">
        <x:v>4</x:v>
      </x:c>
      <x:c r="N84" s="147" t="n">
        <x:v>74334</x:v>
      </x:c>
      <x:c r="O84" s="143" t="str">
        <x:v>Listed</x:v>
      </x:c>
      <x:c r="P84" s="143" t="str">
        <x:v>VEH-62BE026E370A</x:v>
      </x:c>
      <x:c r="Q84" s="143" t="str">
        <x:v>ARPI62BE026E370A1</x:v>
      </x:c>
      <x:c r="R84" s="145" t="n">
        <x:v>1</x:v>
      </x:c>
      <x:c r="S84" s="143" t="str">
        <x:v>Sanitized public reference data</x:v>
      </x:c>
    </x:row>
    <x:row r="85" ht="19" customHeight="1">
      <x:c r="A85" s="143" t="str">
        <x:v>GSA001-20260802-0084</x:v>
      </x:c>
      <x:c r="B85" s="143" t="str">
        <x:v>GSA-001</x:v>
      </x:c>
      <x:c r="C85" s="143" t="str">
        <x:v>Granite Chevrolet of Nashua</x:v>
      </x:c>
      <x:c r="D85" s="144" t="n">
        <x:v>46236</x:v>
      </x:c>
      <x:c r="E85" s="143" t="str">
        <x:v>GSA001-20260802-001</x:v>
      </x:c>
      <x:c r="F85" s="143" t="str">
        <x:v>sanitized_public_inventory_reference</x:v>
      </x:c>
      <x:c r="G85" s="143" t="str">
        <x:v>New</x:v>
      </x:c>
      <x:c r="H85" s="145" t="n">
        <x:v>2026</x:v>
      </x:c>
      <x:c r="I85" s="143" t="str">
        <x:v>Chevrolet</x:v>
      </x:c>
      <x:c r="J85" s="143" t="str">
        <x:v>Equinox</x:v>
      </x:c>
      <x:c r="K85" s="143" t="str">
        <x:v>LT</x:v>
      </x:c>
      <x:c r="L85" s="143" t="str">
        <x:v>2026 Chevrolet Equinox LT</x:v>
      </x:c>
      <x:c r="M85" s="146" t="n">
        <x:v>4</x:v>
      </x:c>
      <x:c r="N85" s="147" t="n">
        <x:v>34498</x:v>
      </x:c>
      <x:c r="O85" s="143" t="str">
        <x:v>Listed</x:v>
      </x:c>
      <x:c r="P85" s="143" t="str">
        <x:v>VEH-EDEF20EF34BA</x:v>
      </x:c>
      <x:c r="Q85" s="143" t="str">
        <x:v>ARPIEDEF20EF34BAA</x:v>
      </x:c>
      <x:c r="R85" s="145" t="n">
        <x:v>1</x:v>
      </x:c>
      <x:c r="S85" s="143" t="str">
        <x:v>Sanitized public reference data</x:v>
      </x:c>
    </x:row>
    <x:row r="86" ht="19" customHeight="1">
      <x:c r="A86" s="143" t="str">
        <x:v>GSA001-20260802-0085</x:v>
      </x:c>
      <x:c r="B86" s="143" t="str">
        <x:v>GSA-001</x:v>
      </x:c>
      <x:c r="C86" s="143" t="str">
        <x:v>Granite Chevrolet of Nashua</x:v>
      </x:c>
      <x:c r="D86" s="144" t="n">
        <x:v>46236</x:v>
      </x:c>
      <x:c r="E86" s="143" t="str">
        <x:v>GSA001-20260802-001</x:v>
      </x:c>
      <x:c r="F86" s="143" t="str">
        <x:v>sanitized_public_inventory_reference</x:v>
      </x:c>
      <x:c r="G86" s="143" t="str">
        <x:v>New</x:v>
      </x:c>
      <x:c r="H86" s="145" t="n">
        <x:v>2026</x:v>
      </x:c>
      <x:c r="I86" s="143" t="str">
        <x:v>Chevrolet</x:v>
      </x:c>
      <x:c r="J86" s="143" t="str">
        <x:v>Equinox</x:v>
      </x:c>
      <x:c r="K86" s="143" t="str">
        <x:v>LT</x:v>
      </x:c>
      <x:c r="L86" s="143" t="str">
        <x:v>2026 Chevrolet Equinox LT</x:v>
      </x:c>
      <x:c r="M86" s="146" t="n">
        <x:v>4</x:v>
      </x:c>
      <x:c r="N86" s="147" t="n">
        <x:v>34472</x:v>
      </x:c>
      <x:c r="O86" s="143" t="str">
        <x:v>Listed</x:v>
      </x:c>
      <x:c r="P86" s="143" t="str">
        <x:v>VEH-3BC21FA2031C</x:v>
      </x:c>
      <x:c r="Q86" s="143" t="str">
        <x:v>ARPI3BC21FA2031CA</x:v>
      </x:c>
      <x:c r="R86" s="145" t="n">
        <x:v>1</x:v>
      </x:c>
      <x:c r="S86" s="143" t="str">
        <x:v>Sanitized public reference data</x:v>
      </x:c>
    </x:row>
    <x:row r="87" ht="19" customHeight="1">
      <x:c r="A87" s="143" t="str">
        <x:v>GSA001-20260802-0086</x:v>
      </x:c>
      <x:c r="B87" s="143" t="str">
        <x:v>GSA-001</x:v>
      </x:c>
      <x:c r="C87" s="143" t="str">
        <x:v>Granite Chevrolet of Nashua</x:v>
      </x:c>
      <x:c r="D87" s="144" t="n">
        <x:v>46236</x:v>
      </x:c>
      <x:c r="E87" s="143" t="str">
        <x:v>GSA001-20260802-001</x:v>
      </x:c>
      <x:c r="F87" s="143" t="str">
        <x:v>sanitized_public_inventory_reference</x:v>
      </x:c>
      <x:c r="G87" s="143" t="str">
        <x:v>New</x:v>
      </x:c>
      <x:c r="H87" s="145" t="n">
        <x:v>2026</x:v>
      </x:c>
      <x:c r="I87" s="143" t="str">
        <x:v>Chevrolet</x:v>
      </x:c>
      <x:c r="J87" s="143" t="str">
        <x:v>Equinox</x:v>
      </x:c>
      <x:c r="K87" s="143" t="str">
        <x:v>LT</x:v>
      </x:c>
      <x:c r="L87" s="143" t="str">
        <x:v>2026 Chevrolet Equinox LT</x:v>
      </x:c>
      <x:c r="M87" s="146" t="n">
        <x:v>4</x:v>
      </x:c>
      <x:c r="N87" s="147" t="n">
        <x:v>34198</x:v>
      </x:c>
      <x:c r="O87" s="143" t="str">
        <x:v>Listed</x:v>
      </x:c>
      <x:c r="P87" s="143" t="str">
        <x:v>VEH-0A8723201D58</x:v>
      </x:c>
      <x:c r="Q87" s="143" t="str">
        <x:v>ARPI0A8723201D58B</x:v>
      </x:c>
      <x:c r="R87" s="145" t="n">
        <x:v>1</x:v>
      </x:c>
      <x:c r="S87" s="143" t="str">
        <x:v>Sanitized public reference data</x:v>
      </x:c>
    </x:row>
    <x:row r="88" ht="19" customHeight="1">
      <x:c r="A88" s="143" t="str">
        <x:v>GSA001-20260802-0087</x:v>
      </x:c>
      <x:c r="B88" s="143" t="str">
        <x:v>GSA-001</x:v>
      </x:c>
      <x:c r="C88" s="143" t="str">
        <x:v>Granite Chevrolet of Nashua</x:v>
      </x:c>
      <x:c r="D88" s="144" t="n">
        <x:v>46236</x:v>
      </x:c>
      <x:c r="E88" s="143" t="str">
        <x:v>GSA001-20260802-001</x:v>
      </x:c>
      <x:c r="F88" s="143" t="str">
        <x:v>sanitized_public_inventory_reference</x:v>
      </x:c>
      <x:c r="G88" s="143" t="str">
        <x:v>New</x:v>
      </x:c>
      <x:c r="H88" s="145" t="n">
        <x:v>2026</x:v>
      </x:c>
      <x:c r="I88" s="143" t="str">
        <x:v>Chevrolet</x:v>
      </x:c>
      <x:c r="J88" s="143" t="str">
        <x:v>Traverse</x:v>
      </x:c>
      <x:c r="K88" s="143" t="str">
        <x:v>LT</x:v>
      </x:c>
      <x:c r="L88" s="143" t="str">
        <x:v>2026 Chevrolet Traverse LT</x:v>
      </x:c>
      <x:c r="M88" s="146" t="n">
        <x:v>4</x:v>
      </x:c>
      <x:c r="N88" s="147" t="n">
        <x:v>43873</x:v>
      </x:c>
      <x:c r="O88" s="143" t="str">
        <x:v>Listed</x:v>
      </x:c>
      <x:c r="P88" s="143" t="str">
        <x:v>VEH-90DD6CC50908</x:v>
      </x:c>
      <x:c r="Q88" s="143" t="str">
        <x:v>ARPI90DD6CC50908C</x:v>
      </x:c>
      <x:c r="R88" s="145" t="n">
        <x:v>1</x:v>
      </x:c>
      <x:c r="S88" s="143" t="str">
        <x:v>Sanitized public reference data</x:v>
      </x:c>
    </x:row>
    <x:row r="89" ht="19" customHeight="1">
      <x:c r="A89" s="143" t="str">
        <x:v>GSA001-20260802-0088</x:v>
      </x:c>
      <x:c r="B89" s="143" t="str">
        <x:v>GSA-001</x:v>
      </x:c>
      <x:c r="C89" s="143" t="str">
        <x:v>Granite Chevrolet of Nashua</x:v>
      </x:c>
      <x:c r="D89" s="144" t="n">
        <x:v>46236</x:v>
      </x:c>
      <x:c r="E89" s="143" t="str">
        <x:v>GSA001-20260802-001</x:v>
      </x:c>
      <x:c r="F89" s="143" t="str">
        <x:v>sanitized_public_inventory_reference</x:v>
      </x:c>
      <x:c r="G89" s="143" t="str">
        <x:v>New</x:v>
      </x:c>
      <x:c r="H89" s="145" t="n">
        <x:v>2026</x:v>
      </x:c>
      <x:c r="I89" s="143" t="str">
        <x:v>Chevrolet</x:v>
      </x:c>
      <x:c r="J89" s="143" t="str">
        <x:v>Tahoe</x:v>
      </x:c>
      <x:c r="K89" s="143" t="str">
        <x:v>Premier</x:v>
      </x:c>
      <x:c r="L89" s="143" t="str">
        <x:v>2026 Chevrolet Tahoe Premier</x:v>
      </x:c>
      <x:c r="M89" s="146" t="n">
        <x:v>4</x:v>
      </x:c>
      <x:c r="N89" s="147" t="n">
        <x:v>78947</x:v>
      </x:c>
      <x:c r="O89" s="143" t="str">
        <x:v>Listed</x:v>
      </x:c>
      <x:c r="P89" s="143" t="str">
        <x:v>VEH-9A2D3E9E1415</x:v>
      </x:c>
      <x:c r="Q89" s="143" t="str">
        <x:v>ARPI9A2D3E9E14156</x:v>
      </x:c>
      <x:c r="R89" s="145" t="n">
        <x:v>1</x:v>
      </x:c>
      <x:c r="S89" s="143" t="str">
        <x:v>Sanitized public reference data</x:v>
      </x:c>
    </x:row>
    <x:row r="90" ht="19" customHeight="1">
      <x:c r="A90" s="143" t="str">
        <x:v>GSA001-20260802-0089</x:v>
      </x:c>
      <x:c r="B90" s="143" t="str">
        <x:v>GSA-001</x:v>
      </x:c>
      <x:c r="C90" s="143" t="str">
        <x:v>Granite Chevrolet of Nashua</x:v>
      </x:c>
      <x:c r="D90" s="144" t="n">
        <x:v>46236</x:v>
      </x:c>
      <x:c r="E90" s="143" t="str">
        <x:v>GSA001-20260802-001</x:v>
      </x:c>
      <x:c r="F90" s="143" t="str">
        <x:v>sanitized_public_inventory_reference</x:v>
      </x:c>
      <x:c r="G90" s="143" t="str">
        <x:v>New</x:v>
      </x:c>
      <x:c r="H90" s="145" t="n">
        <x:v>2026</x:v>
      </x:c>
      <x:c r="I90" s="143" t="str">
        <x:v>Chevrolet</x:v>
      </x:c>
      <x:c r="J90" s="143" t="str">
        <x:v>Suburban</x:v>
      </x:c>
      <x:c r="K90" s="143" t="str">
        <x:v>Premier</x:v>
      </x:c>
      <x:c r="L90" s="143" t="str">
        <x:v>2026 Chevrolet Suburban Premier</x:v>
      </x:c>
      <x:c r="M90" s="146" t="n">
        <x:v>4</x:v>
      </x:c>
      <x:c r="N90" s="147" t="n">
        <x:v>86830</x:v>
      </x:c>
      <x:c r="O90" s="143" t="str">
        <x:v>Listed</x:v>
      </x:c>
      <x:c r="P90" s="143" t="str">
        <x:v>VEH-E23BD12A41E0</x:v>
      </x:c>
      <x:c r="Q90" s="143" t="str">
        <x:v>ARPIE23BD12A41E0E</x:v>
      </x:c>
      <x:c r="R90" s="145" t="n">
        <x:v>1</x:v>
      </x:c>
      <x:c r="S90" s="143" t="str">
        <x:v>Sanitized public reference data</x:v>
      </x:c>
    </x:row>
    <x:row r="91" ht="19" customHeight="1">
      <x:c r="A91" s="143" t="str">
        <x:v>GSA001-20260802-0090</x:v>
      </x:c>
      <x:c r="B91" s="143" t="str">
        <x:v>GSA-001</x:v>
      </x:c>
      <x:c r="C91" s="143" t="str">
        <x:v>Granite Chevrolet of Nashua</x:v>
      </x:c>
      <x:c r="D91" s="144" t="n">
        <x:v>46236</x:v>
      </x:c>
      <x:c r="E91" s="143" t="str">
        <x:v>GSA001-20260802-001</x:v>
      </x:c>
      <x:c r="F91" s="143" t="str">
        <x:v>sanitized_public_inventory_reference</x:v>
      </x:c>
      <x:c r="G91" s="143" t="str">
        <x:v>New</x:v>
      </x:c>
      <x:c r="H91" s="145" t="n">
        <x:v>2026</x:v>
      </x:c>
      <x:c r="I91" s="143" t="str">
        <x:v>Chevrolet</x:v>
      </x:c>
      <x:c r="J91" s="143" t="str">
        <x:v>Silverado 1500</x:v>
      </x:c>
      <x:c r="K91" s="143" t="str">
        <x:v>RST</x:v>
      </x:c>
      <x:c r="L91" s="143" t="str">
        <x:v>2026 Chevrolet Silverado 1500 RST</x:v>
      </x:c>
      <x:c r="M91" s="146" t="n">
        <x:v>3</x:v>
      </x:c>
      <x:c r="N91" s="147" t="n">
        <x:v>48657</x:v>
      </x:c>
      <x:c r="O91" s="143" t="str">
        <x:v>Listed</x:v>
      </x:c>
      <x:c r="P91" s="143" t="str">
        <x:v>VEH-E7908652FF9F</x:v>
      </x:c>
      <x:c r="Q91" s="143" t="str">
        <x:v>ARPIE7908652FF9FF</x:v>
      </x:c>
      <x:c r="R91" s="145" t="n">
        <x:v>1</x:v>
      </x:c>
      <x:c r="S91" s="143" t="str">
        <x:v>Sanitized public reference data</x:v>
      </x:c>
    </x:row>
    <x:row r="92" ht="19" customHeight="1">
      <x:c r="A92" s="143" t="str">
        <x:v>GSA001-20260802-0091</x:v>
      </x:c>
      <x:c r="B92" s="143" t="str">
        <x:v>GSA-001</x:v>
      </x:c>
      <x:c r="C92" s="143" t="str">
        <x:v>Granite Chevrolet of Nashua</x:v>
      </x:c>
      <x:c r="D92" s="144" t="n">
        <x:v>46236</x:v>
      </x:c>
      <x:c r="E92" s="143" t="str">
        <x:v>GSA001-20260802-001</x:v>
      </x:c>
      <x:c r="F92" s="143" t="str">
        <x:v>sanitized_public_inventory_reference</x:v>
      </x:c>
      <x:c r="G92" s="143" t="str">
        <x:v>New</x:v>
      </x:c>
      <x:c r="H92" s="145" t="n">
        <x:v>2026</x:v>
      </x:c>
      <x:c r="I92" s="143" t="str">
        <x:v>Chevrolet</x:v>
      </x:c>
      <x:c r="J92" s="143" t="str">
        <x:v>Tahoe</x:v>
      </x:c>
      <x:c r="K92" s="143" t="str">
        <x:v>High Country</x:v>
      </x:c>
      <x:c r="L92" s="143" t="str">
        <x:v>2026 Chevrolet Tahoe High Country</x:v>
      </x:c>
      <x:c r="M92" s="146" t="n">
        <x:v>4</x:v>
      </x:c>
      <x:c r="N92" s="147" t="n">
        <x:v>88521</x:v>
      </x:c>
      <x:c r="O92" s="143" t="str">
        <x:v>Listed</x:v>
      </x:c>
      <x:c r="P92" s="143" t="str">
        <x:v>VEH-1BCA48E8416F</x:v>
      </x:c>
      <x:c r="Q92" s="143" t="str">
        <x:v>ARPI1BCA48E8416F1</x:v>
      </x:c>
      <x:c r="R92" s="145" t="n">
        <x:v>1</x:v>
      </x:c>
      <x:c r="S92" s="143" t="str">
        <x:v>Sanitized public reference data</x:v>
      </x:c>
    </x:row>
    <x:row r="93" ht="19" customHeight="1">
      <x:c r="A93" s="143" t="str">
        <x:v>GSA001-20260802-0092</x:v>
      </x:c>
      <x:c r="B93" s="143" t="str">
        <x:v>GSA-001</x:v>
      </x:c>
      <x:c r="C93" s="143" t="str">
        <x:v>Granite Chevrolet of Nashua</x:v>
      </x:c>
      <x:c r="D93" s="144" t="n">
        <x:v>46236</x:v>
      </x:c>
      <x:c r="E93" s="143" t="str">
        <x:v>GSA001-20260802-001</x:v>
      </x:c>
      <x:c r="F93" s="143" t="str">
        <x:v>sanitized_public_inventory_reference</x:v>
      </x:c>
      <x:c r="G93" s="143" t="str">
        <x:v>New</x:v>
      </x:c>
      <x:c r="H93" s="145" t="n">
        <x:v>2026</x:v>
      </x:c>
      <x:c r="I93" s="143" t="str">
        <x:v>Chevrolet</x:v>
      </x:c>
      <x:c r="J93" s="143" t="str">
        <x:v>Express Cutaway 4500</x:v>
      </x:c>
      <x:c r="K93" s="143" t="str">
        <x:v>2WT</x:v>
      </x:c>
      <x:c r="L93" s="143" t="str">
        <x:v>2026 Chevrolet Express Cutaway 4500 2WT</x:v>
      </x:c>
      <x:c r="M93" s="146" t="n">
        <x:v>4</x:v>
      </x:c>
      <x:c r="N93" s="147" t="n">
        <x:v>65498</x:v>
      </x:c>
      <x:c r="O93" s="143" t="str">
        <x:v>Listed</x:v>
      </x:c>
      <x:c r="P93" s="143" t="str">
        <x:v>VEH-CE68FCC84351</x:v>
      </x:c>
      <x:c r="Q93" s="143" t="str">
        <x:v>ARPICE68FCC843518</x:v>
      </x:c>
      <x:c r="R93" s="145" t="n">
        <x:v>1</x:v>
      </x:c>
      <x:c r="S93" s="143" t="str">
        <x:v>Sanitized public reference data</x:v>
      </x:c>
    </x:row>
    <x:row r="94" ht="19" customHeight="1">
      <x:c r="A94" s="143" t="str">
        <x:v>GSA001-20260802-0093</x:v>
      </x:c>
      <x:c r="B94" s="143" t="str">
        <x:v>GSA-001</x:v>
      </x:c>
      <x:c r="C94" s="143" t="str">
        <x:v>Granite Chevrolet of Nashua</x:v>
      </x:c>
      <x:c r="D94" s="144" t="n">
        <x:v>46236</x:v>
      </x:c>
      <x:c r="E94" s="143" t="str">
        <x:v>GSA001-20260802-001</x:v>
      </x:c>
      <x:c r="F94" s="143" t="str">
        <x:v>sanitized_public_inventory_reference</x:v>
      </x:c>
      <x:c r="G94" s="143" t="str">
        <x:v>New</x:v>
      </x:c>
      <x:c r="H94" s="145" t="n">
        <x:v>2026</x:v>
      </x:c>
      <x:c r="I94" s="143" t="str">
        <x:v>Chevrolet</x:v>
      </x:c>
      <x:c r="J94" s="143" t="str">
        <x:v>Colorado</x:v>
      </x:c>
      <x:c r="K94" s="143" t="str">
        <x:v>WT</x:v>
      </x:c>
      <x:c r="L94" s="143" t="str">
        <x:v>2026 Chevrolet Colorado WT</x:v>
      </x:c>
      <x:c r="M94" s="146" t="n">
        <x:v>4</x:v>
      </x:c>
      <x:c r="N94" s="147" t="n">
        <x:v>38224</x:v>
      </x:c>
      <x:c r="O94" s="143" t="str">
        <x:v>Listed</x:v>
      </x:c>
      <x:c r="P94" s="143" t="str">
        <x:v>VEH-A9190A14B84A</x:v>
      </x:c>
      <x:c r="Q94" s="143" t="str">
        <x:v>ARPIA9190A14B84A4</x:v>
      </x:c>
      <x:c r="R94" s="145" t="n">
        <x:v>1</x:v>
      </x:c>
      <x:c r="S94" s="143" t="str">
        <x:v>Sanitized public reference data</x:v>
      </x:c>
    </x:row>
    <x:row r="95" ht="19" customHeight="1">
      <x:c r="A95" s="143" t="str">
        <x:v>GSA001-20260802-0094</x:v>
      </x:c>
      <x:c r="B95" s="143" t="str">
        <x:v>GSA-001</x:v>
      </x:c>
      <x:c r="C95" s="143" t="str">
        <x:v>Granite Chevrolet of Nashua</x:v>
      </x:c>
      <x:c r="D95" s="144" t="n">
        <x:v>46236</x:v>
      </x:c>
      <x:c r="E95" s="143" t="str">
        <x:v>GSA001-20260802-001</x:v>
      </x:c>
      <x:c r="F95" s="143" t="str">
        <x:v>sanitized_public_inventory_reference</x:v>
      </x:c>
      <x:c r="G95" s="143" t="str">
        <x:v>New</x:v>
      </x:c>
      <x:c r="H95" s="145" t="n">
        <x:v>2026</x:v>
      </x:c>
      <x:c r="I95" s="143" t="str">
        <x:v>Chevrolet</x:v>
      </x:c>
      <x:c r="J95" s="143" t="str">
        <x:v>Silverado 1500</x:v>
      </x:c>
      <x:c r="K95" s="143" t="str">
        <x:v>LT (2FL)</x:v>
      </x:c>
      <x:c r="L95" s="143" t="str">
        <x:v>2026 Chevrolet Silverado 1500 LT (2FL)</x:v>
      </x:c>
      <x:c r="M95" s="146" t="n">
        <x:v>4</x:v>
      </x:c>
      <x:c r="N95" s="147" t="n">
        <x:v>49304</x:v>
      </x:c>
      <x:c r="O95" s="143" t="str">
        <x:v>Listed</x:v>
      </x:c>
      <x:c r="P95" s="143" t="str">
        <x:v>VEH-1123F2640F2C</x:v>
      </x:c>
      <x:c r="Q95" s="143" t="str">
        <x:v>ARPI1123F2640F2CE</x:v>
      </x:c>
      <x:c r="R95" s="145" t="n">
        <x:v>1</x:v>
      </x:c>
      <x:c r="S95" s="143" t="str">
        <x:v>Sanitized public reference data</x:v>
      </x:c>
    </x:row>
    <x:row r="96" ht="19" customHeight="1">
      <x:c r="A96" s="143" t="str">
        <x:v>GSA001-20260802-0095</x:v>
      </x:c>
      <x:c r="B96" s="143" t="str">
        <x:v>GSA-001</x:v>
      </x:c>
      <x:c r="C96" s="143" t="str">
        <x:v>Granite Chevrolet of Nashua</x:v>
      </x:c>
      <x:c r="D96" s="144" t="n">
        <x:v>46236</x:v>
      </x:c>
      <x:c r="E96" s="143" t="str">
        <x:v>GSA001-20260802-001</x:v>
      </x:c>
      <x:c r="F96" s="143" t="str">
        <x:v>sanitized_public_inventory_reference</x:v>
      </x:c>
      <x:c r="G96" s="143" t="str">
        <x:v>New</x:v>
      </x:c>
      <x:c r="H96" s="145" t="n">
        <x:v>2026</x:v>
      </x:c>
      <x:c r="I96" s="143" t="str">
        <x:v>Chevrolet</x:v>
      </x:c>
      <x:c r="J96" s="143" t="str">
        <x:v>Equinox</x:v>
      </x:c>
      <x:c r="K96" s="143" t="str">
        <x:v>LT</x:v>
      </x:c>
      <x:c r="L96" s="143" t="str">
        <x:v>2026 Chevrolet Equinox LT</x:v>
      </x:c>
      <x:c r="M96" s="146" t="n">
        <x:v>4</x:v>
      </x:c>
      <x:c r="N96" s="147" t="n">
        <x:v>34498</x:v>
      </x:c>
      <x:c r="O96" s="143" t="str">
        <x:v>Listed</x:v>
      </x:c>
      <x:c r="P96" s="143" t="str">
        <x:v>VEH-015F75B337B3</x:v>
      </x:c>
      <x:c r="Q96" s="143" t="str">
        <x:v>ARPI015F75B337B39</x:v>
      </x:c>
      <x:c r="R96" s="145" t="n">
        <x:v>1</x:v>
      </x:c>
      <x:c r="S96" s="143" t="str">
        <x:v>Sanitized public reference data</x:v>
      </x:c>
    </x:row>
    <x:row r="97" ht="19" customHeight="1">
      <x:c r="A97" s="143" t="str">
        <x:v>GSA001-20260802-0096</x:v>
      </x:c>
      <x:c r="B97" s="143" t="str">
        <x:v>GSA-001</x:v>
      </x:c>
      <x:c r="C97" s="143" t="str">
        <x:v>Granite Chevrolet of Nashua</x:v>
      </x:c>
      <x:c r="D97" s="144" t="n">
        <x:v>46236</x:v>
      </x:c>
      <x:c r="E97" s="143" t="str">
        <x:v>GSA001-20260802-001</x:v>
      </x:c>
      <x:c r="F97" s="143" t="str">
        <x:v>sanitized_public_inventory_reference</x:v>
      </x:c>
      <x:c r="G97" s="143" t="str">
        <x:v>New</x:v>
      </x:c>
      <x:c r="H97" s="145" t="n">
        <x:v>2026</x:v>
      </x:c>
      <x:c r="I97" s="143" t="str">
        <x:v>Chevrolet</x:v>
      </x:c>
      <x:c r="J97" s="143" t="str">
        <x:v>Trax</x:v>
      </x:c>
      <x:c r="K97" s="143" t="str">
        <x:v>LS</x:v>
      </x:c>
      <x:c r="L97" s="143" t="str">
        <x:v>2026 Chevrolet Trax LS</x:v>
      </x:c>
      <x:c r="M97" s="146" t="n">
        <x:v>4</x:v>
      </x:c>
      <x:c r="N97" s="147" t="n">
        <x:v>22716</x:v>
      </x:c>
      <x:c r="O97" s="143" t="str">
        <x:v>Listed</x:v>
      </x:c>
      <x:c r="P97" s="143" t="str">
        <x:v>VEH-01A533837F7A</x:v>
      </x:c>
      <x:c r="Q97" s="143" t="str">
        <x:v>ARPI01A533837F7A1</x:v>
      </x:c>
      <x:c r="R97" s="145" t="n">
        <x:v>1</x:v>
      </x:c>
      <x:c r="S97" s="143" t="str">
        <x:v>Sanitized public reference data</x:v>
      </x:c>
    </x:row>
    <x:row r="98" ht="19" customHeight="1">
      <x:c r="A98" s="143" t="str">
        <x:v>GSA001-20260802-0097</x:v>
      </x:c>
      <x:c r="B98" s="143" t="str">
        <x:v>GSA-001</x:v>
      </x:c>
      <x:c r="C98" s="143" t="str">
        <x:v>Granite Chevrolet of Nashua</x:v>
      </x:c>
      <x:c r="D98" s="144" t="n">
        <x:v>46236</x:v>
      </x:c>
      <x:c r="E98" s="143" t="str">
        <x:v>GSA001-20260802-001</x:v>
      </x:c>
      <x:c r="F98" s="143" t="str">
        <x:v>sanitized_public_inventory_reference</x:v>
      </x:c>
      <x:c r="G98" s="143" t="str">
        <x:v>New</x:v>
      </x:c>
      <x:c r="H98" s="145" t="n">
        <x:v>2026</x:v>
      </x:c>
      <x:c r="I98" s="143" t="str">
        <x:v>Chevrolet</x:v>
      </x:c>
      <x:c r="J98" s="143" t="str">
        <x:v>Traverse</x:v>
      </x:c>
      <x:c r="K98" s="143" t="str">
        <x:v>RS</x:v>
      </x:c>
      <x:c r="L98" s="143" t="str">
        <x:v>2026 Chevrolet Traverse RS</x:v>
      </x:c>
      <x:c r="M98" s="146" t="n">
        <x:v>4</x:v>
      </x:c>
      <x:c r="N98" s="147" t="n">
        <x:v>56625</x:v>
      </x:c>
      <x:c r="O98" s="143" t="str">
        <x:v>Listed</x:v>
      </x:c>
      <x:c r="P98" s="143" t="str">
        <x:v>VEH-4809B2B74A40</x:v>
      </x:c>
      <x:c r="Q98" s="143" t="str">
        <x:v>ARPI4809B2B74A403</x:v>
      </x:c>
      <x:c r="R98" s="145" t="n">
        <x:v>1</x:v>
      </x:c>
      <x:c r="S98" s="143" t="str">
        <x:v>Sanitized public reference data</x:v>
      </x:c>
    </x:row>
    <x:row r="99" ht="19" customHeight="1">
      <x:c r="A99" s="143" t="str">
        <x:v>GSA001-20260802-0098</x:v>
      </x:c>
      <x:c r="B99" s="143" t="str">
        <x:v>GSA-001</x:v>
      </x:c>
      <x:c r="C99" s="143" t="str">
        <x:v>Granite Chevrolet of Nashua</x:v>
      </x:c>
      <x:c r="D99" s="144" t="n">
        <x:v>46236</x:v>
      </x:c>
      <x:c r="E99" s="143" t="str">
        <x:v>GSA001-20260802-001</x:v>
      </x:c>
      <x:c r="F99" s="143" t="str">
        <x:v>sanitized_public_inventory_reference</x:v>
      </x:c>
      <x:c r="G99" s="143" t="str">
        <x:v>New</x:v>
      </x:c>
      <x:c r="H99" s="145" t="n">
        <x:v>2026</x:v>
      </x:c>
      <x:c r="I99" s="143" t="str">
        <x:v>Chevrolet</x:v>
      </x:c>
      <x:c r="J99" s="143" t="str">
        <x:v>Silverado 1500</x:v>
      </x:c>
      <x:c r="K99" s="143" t="str">
        <x:v>LT</x:v>
      </x:c>
      <x:c r="L99" s="143" t="str">
        <x:v>2026 Chevrolet Silverado 1500 LT</x:v>
      </x:c>
      <x:c r="M99" s="146" t="n">
        <x:v>4</x:v>
      </x:c>
      <x:c r="N99" s="147" t="n">
        <x:v>49498</x:v>
      </x:c>
      <x:c r="O99" s="143" t="str">
        <x:v>Listed</x:v>
      </x:c>
      <x:c r="P99" s="143" t="str">
        <x:v>VEH-36DE4A54F8D3</x:v>
      </x:c>
      <x:c r="Q99" s="143" t="str">
        <x:v>ARPI36DE4A54F8D39</x:v>
      </x:c>
      <x:c r="R99" s="145" t="n">
        <x:v>1</x:v>
      </x:c>
      <x:c r="S99" s="143" t="str">
        <x:v>Sanitized public reference data</x:v>
      </x:c>
    </x:row>
    <x:row r="100" ht="19" customHeight="1">
      <x:c r="A100" s="143" t="str">
        <x:v>GSA001-20260802-0099</x:v>
      </x:c>
      <x:c r="B100" s="143" t="str">
        <x:v>GSA-001</x:v>
      </x:c>
      <x:c r="C100" s="143" t="str">
        <x:v>Granite Chevrolet of Nashua</x:v>
      </x:c>
      <x:c r="D100" s="144" t="n">
        <x:v>46236</x:v>
      </x:c>
      <x:c r="E100" s="143" t="str">
        <x:v>GSA001-20260802-001</x:v>
      </x:c>
      <x:c r="F100" s="143" t="str">
        <x:v>sanitized_public_inventory_reference</x:v>
      </x:c>
      <x:c r="G100" s="143" t="str">
        <x:v>New</x:v>
      </x:c>
      <x:c r="H100" s="145" t="n">
        <x:v>2026</x:v>
      </x:c>
      <x:c r="I100" s="143" t="str">
        <x:v>Chevrolet</x:v>
      </x:c>
      <x:c r="J100" s="143" t="str">
        <x:v>Silverado 2500 HD</x:v>
      </x:c>
      <x:c r="K100" s="143" t="str">
        <x:v>Custom</x:v>
      </x:c>
      <x:c r="L100" s="143" t="str">
        <x:v>2026 Chevrolet Silverado 2500 HD Custom</x:v>
      </x:c>
      <x:c r="M100" s="146" t="n">
        <x:v>4</x:v>
      </x:c>
      <x:c r="N100" s="147" t="n">
        <x:v>64890</x:v>
      </x:c>
      <x:c r="O100" s="143" t="str">
        <x:v>Listed</x:v>
      </x:c>
      <x:c r="P100" s="143" t="str">
        <x:v>VEH-00B8CB67B228</x:v>
      </x:c>
      <x:c r="Q100" s="143" t="str">
        <x:v>ARPI00B8CB67B228C</x:v>
      </x:c>
      <x:c r="R100" s="145" t="n">
        <x:v>1</x:v>
      </x:c>
      <x:c r="S100" s="143" t="str">
        <x:v>Sanitized public reference data</x:v>
      </x:c>
    </x:row>
    <x:row r="101" ht="19" customHeight="1">
      <x:c r="A101" s="143" t="str">
        <x:v>GSA001-20260802-0100</x:v>
      </x:c>
      <x:c r="B101" s="143" t="str">
        <x:v>GSA-001</x:v>
      </x:c>
      <x:c r="C101" s="143" t="str">
        <x:v>Granite Chevrolet of Nashua</x:v>
      </x:c>
      <x:c r="D101" s="144" t="n">
        <x:v>46236</x:v>
      </x:c>
      <x:c r="E101" s="143" t="str">
        <x:v>GSA001-20260802-001</x:v>
      </x:c>
      <x:c r="F101" s="143" t="str">
        <x:v>sanitized_public_inventory_reference</x:v>
      </x:c>
      <x:c r="G101" s="143" t="str">
        <x:v>New</x:v>
      </x:c>
      <x:c r="H101" s="145" t="n">
        <x:v>2026</x:v>
      </x:c>
      <x:c r="I101" s="143" t="str">
        <x:v>Chevrolet</x:v>
      </x:c>
      <x:c r="J101" s="143" t="str">
        <x:v>Equinox</x:v>
      </x:c>
      <x:c r="K101" s="143" t="str">
        <x:v>LT</x:v>
      </x:c>
      <x:c r="L101" s="143" t="str">
        <x:v>2026 Chevrolet Equinox LT</x:v>
      </x:c>
      <x:c r="M101" s="146" t="n">
        <x:v>4</x:v>
      </x:c>
      <x:c r="N101" s="147" t="n">
        <x:v>31929</x:v>
      </x:c>
      <x:c r="O101" s="143" t="str">
        <x:v>Listed</x:v>
      </x:c>
      <x:c r="P101" s="143" t="str">
        <x:v>VEH-DEF885472816</x:v>
      </x:c>
      <x:c r="Q101" s="143" t="str">
        <x:v>ARPIDEF8854728166</x:v>
      </x:c>
      <x:c r="R101" s="145" t="n">
        <x:v>1</x:v>
      </x:c>
      <x:c r="S101" s="143" t="str">
        <x:v>Sanitized public reference data</x:v>
      </x:c>
    </x:row>
    <x:row r="102" ht="19" customHeight="1">
      <x:c r="A102" s="143" t="str">
        <x:v>GSA001-20260802-0101</x:v>
      </x:c>
      <x:c r="B102" s="143" t="str">
        <x:v>GSA-001</x:v>
      </x:c>
      <x:c r="C102" s="143" t="str">
        <x:v>Granite Chevrolet of Nashua</x:v>
      </x:c>
      <x:c r="D102" s="144" t="n">
        <x:v>46236</x:v>
      </x:c>
      <x:c r="E102" s="143" t="str">
        <x:v>GSA001-20260802-001</x:v>
      </x:c>
      <x:c r="F102" s="143" t="str">
        <x:v>sanitized_public_inventory_reference</x:v>
      </x:c>
      <x:c r="G102" s="143" t="str">
        <x:v>New</x:v>
      </x:c>
      <x:c r="H102" s="145" t="n">
        <x:v>2026</x:v>
      </x:c>
      <x:c r="I102" s="143" t="str">
        <x:v>Chevrolet</x:v>
      </x:c>
      <x:c r="J102" s="143" t="str">
        <x:v>Silverado 1500</x:v>
      </x:c>
      <x:c r="K102" s="143" t="str">
        <x:v>RST</x:v>
      </x:c>
      <x:c r="L102" s="143" t="str">
        <x:v>2026 Chevrolet Silverado 1500 RST</x:v>
      </x:c>
      <x:c r="M102" s="146" t="n">
        <x:v>3</x:v>
      </x:c>
      <x:c r="N102" s="147" t="n">
        <x:v>52054</x:v>
      </x:c>
      <x:c r="O102" s="143" t="str">
        <x:v>Listed</x:v>
      </x:c>
      <x:c r="P102" s="143" t="str">
        <x:v>VEH-FCCB22392592</x:v>
      </x:c>
      <x:c r="Q102" s="143" t="str">
        <x:v>ARPIFCCB223925929</x:v>
      </x:c>
      <x:c r="R102" s="145" t="n">
        <x:v>1</x:v>
      </x:c>
      <x:c r="S102" s="143" t="str">
        <x:v>Sanitized public reference data</x:v>
      </x:c>
    </x:row>
    <x:row r="103" ht="19" customHeight="1">
      <x:c r="A103" s="143" t="str">
        <x:v>GSA001-20260802-0102</x:v>
      </x:c>
      <x:c r="B103" s="143" t="str">
        <x:v>GSA-001</x:v>
      </x:c>
      <x:c r="C103" s="143" t="str">
        <x:v>Granite Chevrolet of Nashua</x:v>
      </x:c>
      <x:c r="D103" s="144" t="n">
        <x:v>46236</x:v>
      </x:c>
      <x:c r="E103" s="143" t="str">
        <x:v>GSA001-20260802-001</x:v>
      </x:c>
      <x:c r="F103" s="143" t="str">
        <x:v>sanitized_public_inventory_reference</x:v>
      </x:c>
      <x:c r="G103" s="143" t="str">
        <x:v>New</x:v>
      </x:c>
      <x:c r="H103" s="145" t="n">
        <x:v>2026</x:v>
      </x:c>
      <x:c r="I103" s="143" t="str">
        <x:v>Chevrolet</x:v>
      </x:c>
      <x:c r="J103" s="143" t="str">
        <x:v>Silverado 2500 HD</x:v>
      </x:c>
      <x:c r="K103" s="143" t="str">
        <x:v>Custom</x:v>
      </x:c>
      <x:c r="L103" s="143" t="str">
        <x:v>2026 Chevrolet Silverado 2500 HD Custom</x:v>
      </x:c>
      <x:c r="M103" s="146" t="n">
        <x:v>4</x:v>
      </x:c>
      <x:c r="N103" s="147" t="n">
        <x:v>64836</x:v>
      </x:c>
      <x:c r="O103" s="143" t="str">
        <x:v>Listed</x:v>
      </x:c>
      <x:c r="P103" s="143" t="str">
        <x:v>VEH-EC7B1F005C6F</x:v>
      </x:c>
      <x:c r="Q103" s="143" t="str">
        <x:v>ARPIEC7B1F005C6F8</x:v>
      </x:c>
      <x:c r="R103" s="145" t="n">
        <x:v>1</x:v>
      </x:c>
      <x:c r="S103" s="143" t="str">
        <x:v>Sanitized public reference data</x:v>
      </x:c>
    </x:row>
    <x:row r="104" ht="19" customHeight="1">
      <x:c r="A104" s="143" t="str">
        <x:v>GSA001-20260802-0103</x:v>
      </x:c>
      <x:c r="B104" s="143" t="str">
        <x:v>GSA-001</x:v>
      </x:c>
      <x:c r="C104" s="143" t="str">
        <x:v>Granite Chevrolet of Nashua</x:v>
      </x:c>
      <x:c r="D104" s="144" t="n">
        <x:v>46236</x:v>
      </x:c>
      <x:c r="E104" s="143" t="str">
        <x:v>GSA001-20260802-001</x:v>
      </x:c>
      <x:c r="F104" s="143" t="str">
        <x:v>sanitized_public_inventory_reference</x:v>
      </x:c>
      <x:c r="G104" s="143" t="str">
        <x:v>New</x:v>
      </x:c>
      <x:c r="H104" s="145" t="n">
        <x:v>2026</x:v>
      </x:c>
      <x:c r="I104" s="143" t="str">
        <x:v>Chevrolet</x:v>
      </x:c>
      <x:c r="J104" s="143" t="str">
        <x:v>Silverado 1500</x:v>
      </x:c>
      <x:c r="K104" s="143" t="str">
        <x:v>RST</x:v>
      </x:c>
      <x:c r="L104" s="143" t="str">
        <x:v>2026 Chevrolet Silverado 1500 RST</x:v>
      </x:c>
      <x:c r="M104" s="146" t="n">
        <x:v>4</x:v>
      </x:c>
      <x:c r="N104" s="147" t="n">
        <x:v>56708</x:v>
      </x:c>
      <x:c r="O104" s="143" t="str">
        <x:v>Listed</x:v>
      </x:c>
      <x:c r="P104" s="143" t="str">
        <x:v>VEH-5EFD0753165F</x:v>
      </x:c>
      <x:c r="Q104" s="143" t="str">
        <x:v>ARPI5EFD0753165FC</x:v>
      </x:c>
      <x:c r="R104" s="145" t="n">
        <x:v>1</x:v>
      </x:c>
      <x:c r="S104" s="143" t="str">
        <x:v>Sanitized public reference data</x:v>
      </x:c>
    </x:row>
    <x:row r="105" ht="19" customHeight="1">
      <x:c r="A105" s="143" t="str">
        <x:v>GSA001-20260802-0104</x:v>
      </x:c>
      <x:c r="B105" s="143" t="str">
        <x:v>GSA-001</x:v>
      </x:c>
      <x:c r="C105" s="143" t="str">
        <x:v>Granite Chevrolet of Nashua</x:v>
      </x:c>
      <x:c r="D105" s="144" t="n">
        <x:v>46236</x:v>
      </x:c>
      <x:c r="E105" s="143" t="str">
        <x:v>GSA001-20260802-001</x:v>
      </x:c>
      <x:c r="F105" s="143" t="str">
        <x:v>sanitized_public_inventory_reference</x:v>
      </x:c>
      <x:c r="G105" s="143" t="str">
        <x:v>New</x:v>
      </x:c>
      <x:c r="H105" s="145" t="n">
        <x:v>2025</x:v>
      </x:c>
      <x:c r="I105" s="143" t="str">
        <x:v>Chevrolet</x:v>
      </x:c>
      <x:c r="J105" s="143" t="str">
        <x:v>Express Cargo</x:v>
      </x:c>
      <x:c r="K105" s="143" t="str">
        <x:v>WT</x:v>
      </x:c>
      <x:c r="L105" s="143" t="str">
        <x:v>2025 Chevrolet Express Cargo WT</x:v>
      </x:c>
      <x:c r="M105" s="146" t="n">
        <x:v>4</x:v>
      </x:c>
      <x:c r="N105" s="147" t="n">
        <x:v>42498</x:v>
      </x:c>
      <x:c r="O105" s="143" t="str">
        <x:v>Listed</x:v>
      </x:c>
      <x:c r="P105" s="143" t="str">
        <x:v>VEH-C2876F72F8D8</x:v>
      </x:c>
      <x:c r="Q105" s="143" t="str">
        <x:v>ARPIC2876F72F8D89</x:v>
      </x:c>
      <x:c r="R105" s="145" t="n">
        <x:v>1</x:v>
      </x:c>
      <x:c r="S105" s="143" t="str">
        <x:v>Sanitized public reference data</x:v>
      </x:c>
    </x:row>
    <x:row r="106" ht="19" customHeight="1">
      <x:c r="A106" s="143" t="str">
        <x:v>GSA001-20260802-0105</x:v>
      </x:c>
      <x:c r="B106" s="143" t="str">
        <x:v>GSA-001</x:v>
      </x:c>
      <x:c r="C106" s="143" t="str">
        <x:v>Granite Chevrolet of Nashua</x:v>
      </x:c>
      <x:c r="D106" s="144" t="n">
        <x:v>46236</x:v>
      </x:c>
      <x:c r="E106" s="143" t="str">
        <x:v>GSA001-20260802-001</x:v>
      </x:c>
      <x:c r="F106" s="143" t="str">
        <x:v>sanitized_public_inventory_reference</x:v>
      </x:c>
      <x:c r="G106" s="143" t="str">
        <x:v>New</x:v>
      </x:c>
      <x:c r="H106" s="145" t="n">
        <x:v>2026</x:v>
      </x:c>
      <x:c r="I106" s="143" t="str">
        <x:v>Chevrolet</x:v>
      </x:c>
      <x:c r="J106" s="143" t="str">
        <x:v>Blazer</x:v>
      </x:c>
      <x:c r="K106" s="143" t="str">
        <x:v>RS</x:v>
      </x:c>
      <x:c r="L106" s="143" t="str">
        <x:v>2026 Chevrolet Blazer RS</x:v>
      </x:c>
      <x:c r="M106" s="146" t="n">
        <x:v>3</x:v>
      </x:c>
      <x:c r="N106" s="147" t="n">
        <x:v>53409</x:v>
      </x:c>
      <x:c r="O106" s="143" t="str">
        <x:v>Listed</x:v>
      </x:c>
      <x:c r="P106" s="143" t="str">
        <x:v>VEH-C3F0CFDEB336</x:v>
      </x:c>
      <x:c r="Q106" s="143" t="str">
        <x:v>ARPIC3F0CFDEB3369</x:v>
      </x:c>
      <x:c r="R106" s="145" t="n">
        <x:v>1</x:v>
      </x:c>
      <x:c r="S106" s="143" t="str">
        <x:v>Sanitized public reference data</x:v>
      </x:c>
    </x:row>
    <x:row r="107" ht="19" customHeight="1">
      <x:c r="A107" s="143" t="str">
        <x:v>GSA001-20260802-0106</x:v>
      </x:c>
      <x:c r="B107" s="143" t="str">
        <x:v>GSA-001</x:v>
      </x:c>
      <x:c r="C107" s="143" t="str">
        <x:v>Granite Chevrolet of Nashua</x:v>
      </x:c>
      <x:c r="D107" s="144" t="n">
        <x:v>46236</x:v>
      </x:c>
      <x:c r="E107" s="143" t="str">
        <x:v>GSA001-20260802-001</x:v>
      </x:c>
      <x:c r="F107" s="143" t="str">
        <x:v>sanitized_public_inventory_reference</x:v>
      </x:c>
      <x:c r="G107" s="143" t="str">
        <x:v>New</x:v>
      </x:c>
      <x:c r="H107" s="145" t="n">
        <x:v>2026</x:v>
      </x:c>
      <x:c r="I107" s="143" t="str">
        <x:v>Chevrolet</x:v>
      </x:c>
      <x:c r="J107" s="143" t="str">
        <x:v>Silverado 2500 HD</x:v>
      </x:c>
      <x:c r="K107" s="143" t="str">
        <x:v>Custom</x:v>
      </x:c>
      <x:c r="L107" s="143" t="str">
        <x:v>2026 Chevrolet Silverado 2500 HD Custom</x:v>
      </x:c>
      <x:c r="M107" s="146" t="n">
        <x:v>4</x:v>
      </x:c>
      <x:c r="N107" s="147" t="n">
        <x:v>65890</x:v>
      </x:c>
      <x:c r="O107" s="143" t="str">
        <x:v>Listed</x:v>
      </x:c>
      <x:c r="P107" s="143" t="str">
        <x:v>VEH-A4E172E5B492</x:v>
      </x:c>
      <x:c r="Q107" s="143" t="str">
        <x:v>ARPIA4E172E5B492A</x:v>
      </x:c>
      <x:c r="R107" s="145" t="n">
        <x:v>1</x:v>
      </x:c>
      <x:c r="S107" s="143" t="str">
        <x:v>Sanitized public reference data</x:v>
      </x:c>
    </x:row>
    <x:row r="108" ht="19" customHeight="1">
      <x:c r="A108" s="143" t="str">
        <x:v>GSA001-20260802-0107</x:v>
      </x:c>
      <x:c r="B108" s="143" t="str">
        <x:v>GSA-001</x:v>
      </x:c>
      <x:c r="C108" s="143" t="str">
        <x:v>Granite Chevrolet of Nashua</x:v>
      </x:c>
      <x:c r="D108" s="144" t="n">
        <x:v>46236</x:v>
      </x:c>
      <x:c r="E108" s="143" t="str">
        <x:v>GSA001-20260802-001</x:v>
      </x:c>
      <x:c r="F108" s="143" t="str">
        <x:v>sanitized_public_inventory_reference</x:v>
      </x:c>
      <x:c r="G108" s="143" t="str">
        <x:v>New</x:v>
      </x:c>
      <x:c r="H108" s="145" t="n">
        <x:v>2026</x:v>
      </x:c>
      <x:c r="I108" s="143" t="str">
        <x:v>Chevrolet</x:v>
      </x:c>
      <x:c r="J108" s="143" t="str">
        <x:v>Silverado 2500 HD</x:v>
      </x:c>
      <x:c r="K108" s="143" t="str">
        <x:v>Custom</x:v>
      </x:c>
      <x:c r="L108" s="143" t="str">
        <x:v>2026 Chevrolet Silverado 2500 HD Custom</x:v>
      </x:c>
      <x:c r="M108" s="146" t="n">
        <x:v>4</x:v>
      </x:c>
      <x:c r="N108" s="147" t="n">
        <x:v>63836</x:v>
      </x:c>
      <x:c r="O108" s="143" t="str">
        <x:v>Listed</x:v>
      </x:c>
      <x:c r="P108" s="143" t="str">
        <x:v>VEH-80231CC37820</x:v>
      </x:c>
      <x:c r="Q108" s="143" t="str">
        <x:v>ARPI80231CC378209</x:v>
      </x:c>
      <x:c r="R108" s="145" t="n">
        <x:v>1</x:v>
      </x:c>
      <x:c r="S108" s="143" t="str">
        <x:v>Sanitized public reference data</x:v>
      </x:c>
    </x:row>
    <x:row r="109" ht="19" customHeight="1">
      <x:c r="A109" s="143" t="str">
        <x:v>GSA001-20260802-0108</x:v>
      </x:c>
      <x:c r="B109" s="143" t="str">
        <x:v>GSA-001</x:v>
      </x:c>
      <x:c r="C109" s="143" t="str">
        <x:v>Granite Chevrolet of Nashua</x:v>
      </x:c>
      <x:c r="D109" s="144" t="n">
        <x:v>46236</x:v>
      </x:c>
      <x:c r="E109" s="143" t="str">
        <x:v>GSA001-20260802-001</x:v>
      </x:c>
      <x:c r="F109" s="143" t="str">
        <x:v>sanitized_public_inventory_reference</x:v>
      </x:c>
      <x:c r="G109" s="143" t="str">
        <x:v>New</x:v>
      </x:c>
      <x:c r="H109" s="145" t="n">
        <x:v>2026</x:v>
      </x:c>
      <x:c r="I109" s="143" t="str">
        <x:v>Chevrolet</x:v>
      </x:c>
      <x:c r="J109" s="143" t="str">
        <x:v>Equinox</x:v>
      </x:c>
      <x:c r="K109" s="143" t="str">
        <x:v>LT</x:v>
      </x:c>
      <x:c r="L109" s="143" t="str">
        <x:v>2026 Chevrolet Equinox LT</x:v>
      </x:c>
      <x:c r="M109" s="146" t="n">
        <x:v>4</x:v>
      </x:c>
      <x:c r="N109" s="147" t="n">
        <x:v>34024</x:v>
      </x:c>
      <x:c r="O109" s="143" t="str">
        <x:v>Listed</x:v>
      </x:c>
      <x:c r="P109" s="143" t="str">
        <x:v>VEH-DA5742CC2D7A</x:v>
      </x:c>
      <x:c r="Q109" s="143" t="str">
        <x:v>ARPIDA5742CC2D7AE</x:v>
      </x:c>
      <x:c r="R109" s="145" t="n">
        <x:v>1</x:v>
      </x:c>
      <x:c r="S109" s="143" t="str">
        <x:v>Sanitized public reference data</x:v>
      </x:c>
    </x:row>
    <x:row r="110" ht="19" customHeight="1">
      <x:c r="A110" s="143" t="str">
        <x:v>GSA001-20260802-0109</x:v>
      </x:c>
      <x:c r="B110" s="143" t="str">
        <x:v>GSA-001</x:v>
      </x:c>
      <x:c r="C110" s="143" t="str">
        <x:v>Granite Chevrolet of Nashua</x:v>
      </x:c>
      <x:c r="D110" s="144" t="n">
        <x:v>46236</x:v>
      </x:c>
      <x:c r="E110" s="143" t="str">
        <x:v>GSA001-20260802-001</x:v>
      </x:c>
      <x:c r="F110" s="143" t="str">
        <x:v>sanitized_public_inventory_reference</x:v>
      </x:c>
      <x:c r="G110" s="143" t="str">
        <x:v>New</x:v>
      </x:c>
      <x:c r="H110" s="145" t="n">
        <x:v>2026</x:v>
      </x:c>
      <x:c r="I110" s="143" t="str">
        <x:v>Chevrolet</x:v>
      </x:c>
      <x:c r="J110" s="143" t="str">
        <x:v>Equinox</x:v>
      </x:c>
      <x:c r="K110" s="143" t="str">
        <x:v>RS</x:v>
      </x:c>
      <x:c r="L110" s="143" t="str">
        <x:v>2026 Chevrolet Equinox RS</x:v>
      </x:c>
      <x:c r="M110" s="146" t="n">
        <x:v>4</x:v>
      </x:c>
      <x:c r="N110" s="147" t="n">
        <x:v>38149</x:v>
      </x:c>
      <x:c r="O110" s="143" t="str">
        <x:v>Listed</x:v>
      </x:c>
      <x:c r="P110" s="143" t="str">
        <x:v>VEH-1CAD8783FEFF</x:v>
      </x:c>
      <x:c r="Q110" s="143" t="str">
        <x:v>ARPI1CAD8783FEFF4</x:v>
      </x:c>
      <x:c r="R110" s="145" t="n">
        <x:v>1</x:v>
      </x:c>
      <x:c r="S110" s="143" t="str">
        <x:v>Sanitized public reference data</x:v>
      </x:c>
    </x:row>
    <x:row r="111" ht="19" customHeight="1">
      <x:c r="A111" s="143" t="str">
        <x:v>GSA001-20260802-0110</x:v>
      </x:c>
      <x:c r="B111" s="143" t="str">
        <x:v>GSA-001</x:v>
      </x:c>
      <x:c r="C111" s="143" t="str">
        <x:v>Granite Chevrolet of Nashua</x:v>
      </x:c>
      <x:c r="D111" s="144" t="n">
        <x:v>46236</x:v>
      </x:c>
      <x:c r="E111" s="143" t="str">
        <x:v>GSA001-20260802-001</x:v>
      </x:c>
      <x:c r="F111" s="143" t="str">
        <x:v>sanitized_public_inventory_reference</x:v>
      </x:c>
      <x:c r="G111" s="143" t="str">
        <x:v>New</x:v>
      </x:c>
      <x:c r="H111" s="145" t="n">
        <x:v>2026</x:v>
      </x:c>
      <x:c r="I111" s="143" t="str">
        <x:v>Chevrolet</x:v>
      </x:c>
      <x:c r="J111" s="143" t="str">
        <x:v>Tahoe</x:v>
      </x:c>
      <x:c r="K111" s="143" t="str">
        <x:v>High Country</x:v>
      </x:c>
      <x:c r="L111" s="143" t="str">
        <x:v>2026 Chevrolet Tahoe High Country</x:v>
      </x:c>
      <x:c r="M111" s="146" t="n">
        <x:v>4</x:v>
      </x:c>
      <x:c r="N111" s="147" t="n">
        <x:v>88521</x:v>
      </x:c>
      <x:c r="O111" s="143" t="str">
        <x:v>Listed</x:v>
      </x:c>
      <x:c r="P111" s="143" t="str">
        <x:v>VEH-E56024271FB7</x:v>
      </x:c>
      <x:c r="Q111" s="143" t="str">
        <x:v>ARPIE56024271FB76</x:v>
      </x:c>
      <x:c r="R111" s="145" t="n">
        <x:v>1</x:v>
      </x:c>
      <x:c r="S111" s="143" t="str">
        <x:v>Sanitized public reference data</x:v>
      </x:c>
    </x:row>
    <x:row r="112" ht="19" customHeight="1">
      <x:c r="A112" s="143" t="str">
        <x:v>GSA001-20260802-0111</x:v>
      </x:c>
      <x:c r="B112" s="143" t="str">
        <x:v>GSA-001</x:v>
      </x:c>
      <x:c r="C112" s="143" t="str">
        <x:v>Granite Chevrolet of Nashua</x:v>
      </x:c>
      <x:c r="D112" s="144" t="n">
        <x:v>46236</x:v>
      </x:c>
      <x:c r="E112" s="143" t="str">
        <x:v>GSA001-20260802-001</x:v>
      </x:c>
      <x:c r="F112" s="143" t="str">
        <x:v>sanitized_public_inventory_reference</x:v>
      </x:c>
      <x:c r="G112" s="143" t="str">
        <x:v>New</x:v>
      </x:c>
      <x:c r="H112" s="145" t="n">
        <x:v>2026</x:v>
      </x:c>
      <x:c r="I112" s="143" t="str">
        <x:v>Chevrolet</x:v>
      </x:c>
      <x:c r="J112" s="143" t="str">
        <x:v>Equinox</x:v>
      </x:c>
      <x:c r="K112" s="143" t="str">
        <x:v>LT</x:v>
      </x:c>
      <x:c r="L112" s="143" t="str">
        <x:v>2026 Chevrolet Equinox LT</x:v>
      </x:c>
      <x:c r="M112" s="146" t="n">
        <x:v>8</x:v>
      </x:c>
      <x:c r="N112" s="147" t="n">
        <x:v>31074</x:v>
      </x:c>
      <x:c r="O112" s="143" t="str">
        <x:v>Listed</x:v>
      </x:c>
      <x:c r="P112" s="143" t="str">
        <x:v>VEH-DE85128F4E80</x:v>
      </x:c>
      <x:c r="Q112" s="143" t="str">
        <x:v>ARPIDE85128F4E80F</x:v>
      </x:c>
      <x:c r="R112" s="145" t="n">
        <x:v>1</x:v>
      </x:c>
      <x:c r="S112" s="143" t="str">
        <x:v>Sanitized public reference data</x:v>
      </x:c>
    </x:row>
    <x:row r="113" ht="19" customHeight="1">
      <x:c r="A113" s="143" t="str">
        <x:v>GSA001-20260802-0112</x:v>
      </x:c>
      <x:c r="B113" s="143" t="str">
        <x:v>GSA-001</x:v>
      </x:c>
      <x:c r="C113" s="143" t="str">
        <x:v>Granite Chevrolet of Nashua</x:v>
      </x:c>
      <x:c r="D113" s="144" t="n">
        <x:v>46236</x:v>
      </x:c>
      <x:c r="E113" s="143" t="str">
        <x:v>GSA001-20260802-001</x:v>
      </x:c>
      <x:c r="F113" s="143" t="str">
        <x:v>sanitized_public_inventory_reference</x:v>
      </x:c>
      <x:c r="G113" s="143" t="str">
        <x:v>New</x:v>
      </x:c>
      <x:c r="H113" s="145" t="n">
        <x:v>2026</x:v>
      </x:c>
      <x:c r="I113" s="143" t="str">
        <x:v>Chevrolet</x:v>
      </x:c>
      <x:c r="J113" s="143" t="str">
        <x:v>Tahoe</x:v>
      </x:c>
      <x:c r="K113" s="143" t="str">
        <x:v>LS</x:v>
      </x:c>
      <x:c r="L113" s="143" t="str">
        <x:v>2026 Chevrolet Tahoe LS</x:v>
      </x:c>
      <x:c r="M113" s="146" t="n">
        <x:v>4</x:v>
      </x:c>
      <x:c r="N113" s="147" t="n">
        <x:v>61586</x:v>
      </x:c>
      <x:c r="O113" s="143" t="str">
        <x:v>Listed</x:v>
      </x:c>
      <x:c r="P113" s="143" t="str">
        <x:v>VEH-3DFEB89BF0FF</x:v>
      </x:c>
      <x:c r="Q113" s="143" t="str">
        <x:v>ARPI3DFEB89BF0FF0</x:v>
      </x:c>
      <x:c r="R113" s="145" t="n">
        <x:v>1</x:v>
      </x:c>
      <x:c r="S113" s="143" t="str">
        <x:v>Sanitized public reference data</x:v>
      </x:c>
    </x:row>
    <x:row r="114" ht="19" customHeight="1">
      <x:c r="A114" s="143" t="str">
        <x:v>GSA001-20260802-0113</x:v>
      </x:c>
      <x:c r="B114" s="143" t="str">
        <x:v>GSA-001</x:v>
      </x:c>
      <x:c r="C114" s="143" t="str">
        <x:v>Granite Chevrolet of Nashua</x:v>
      </x:c>
      <x:c r="D114" s="144" t="n">
        <x:v>46236</x:v>
      </x:c>
      <x:c r="E114" s="143" t="str">
        <x:v>GSA001-20260802-001</x:v>
      </x:c>
      <x:c r="F114" s="143" t="str">
        <x:v>sanitized_public_inventory_reference</x:v>
      </x:c>
      <x:c r="G114" s="143" t="str">
        <x:v>New</x:v>
      </x:c>
      <x:c r="H114" s="145" t="n">
        <x:v>2026</x:v>
      </x:c>
      <x:c r="I114" s="143" t="str">
        <x:v>Chevrolet</x:v>
      </x:c>
      <x:c r="J114" s="143" t="str">
        <x:v>Silverado 1500</x:v>
      </x:c>
      <x:c r="K114" s="143" t="str">
        <x:v>High Country</x:v>
      </x:c>
      <x:c r="L114" s="143" t="str">
        <x:v>2026 Chevrolet Silverado 1500 High Country</x:v>
      </x:c>
      <x:c r="M114" s="146" t="n">
        <x:v>4</x:v>
      </x:c>
      <x:c r="N114" s="147" t="n">
        <x:v>71738</x:v>
      </x:c>
      <x:c r="O114" s="143" t="str">
        <x:v>Listed</x:v>
      </x:c>
      <x:c r="P114" s="143" t="str">
        <x:v>VEH-BBC61012BA94</x:v>
      </x:c>
      <x:c r="Q114" s="143" t="str">
        <x:v>ARPIBBC61012BA945</x:v>
      </x:c>
      <x:c r="R114" s="145" t="n">
        <x:v>1</x:v>
      </x:c>
      <x:c r="S114" s="143" t="str">
        <x:v>Sanitized public reference data</x:v>
      </x:c>
    </x:row>
    <x:row r="115" ht="19" customHeight="1">
      <x:c r="A115" s="143" t="str">
        <x:v>GSA001-20260802-0114</x:v>
      </x:c>
      <x:c r="B115" s="143" t="str">
        <x:v>GSA-001</x:v>
      </x:c>
      <x:c r="C115" s="143" t="str">
        <x:v>Granite Chevrolet of Nashua</x:v>
      </x:c>
      <x:c r="D115" s="144" t="n">
        <x:v>46236</x:v>
      </x:c>
      <x:c r="E115" s="143" t="str">
        <x:v>GSA001-20260802-001</x:v>
      </x:c>
      <x:c r="F115" s="143" t="str">
        <x:v>sanitized_public_inventory_reference</x:v>
      </x:c>
      <x:c r="G115" s="143" t="str">
        <x:v>New</x:v>
      </x:c>
      <x:c r="H115" s="145" t="n">
        <x:v>2026</x:v>
      </x:c>
      <x:c r="I115" s="143" t="str">
        <x:v>Chevrolet</x:v>
      </x:c>
      <x:c r="J115" s="143" t="str">
        <x:v>Tahoe</x:v>
      </x:c>
      <x:c r="K115" s="143" t="str">
        <x:v>High Country</x:v>
      </x:c>
      <x:c r="L115" s="143" t="str">
        <x:v>2026 Chevrolet Tahoe High Country</x:v>
      </x:c>
      <x:c r="M115" s="146" t="n">
        <x:v>4</x:v>
      </x:c>
      <x:c r="N115" s="147" t="n">
        <x:v>90245</x:v>
      </x:c>
      <x:c r="O115" s="143" t="str">
        <x:v>Listed</x:v>
      </x:c>
      <x:c r="P115" s="143" t="str">
        <x:v>VEH-781DB50525B1</x:v>
      </x:c>
      <x:c r="Q115" s="143" t="str">
        <x:v>ARPI781DB50525B16</x:v>
      </x:c>
      <x:c r="R115" s="145" t="n">
        <x:v>1</x:v>
      </x:c>
      <x:c r="S115" s="143" t="str">
        <x:v>Sanitized public reference data</x:v>
      </x:c>
    </x:row>
    <x:row r="116" ht="19" customHeight="1">
      <x:c r="A116" s="143" t="str">
        <x:v>GSA001-20260802-0115</x:v>
      </x:c>
      <x:c r="B116" s="143" t="str">
        <x:v>GSA-001</x:v>
      </x:c>
      <x:c r="C116" s="143" t="str">
        <x:v>Granite Chevrolet of Nashua</x:v>
      </x:c>
      <x:c r="D116" s="144" t="n">
        <x:v>46236</x:v>
      </x:c>
      <x:c r="E116" s="143" t="str">
        <x:v>GSA001-20260802-001</x:v>
      </x:c>
      <x:c r="F116" s="143" t="str">
        <x:v>sanitized_public_inventory_reference</x:v>
      </x:c>
      <x:c r="G116" s="143" t="str">
        <x:v>New</x:v>
      </x:c>
      <x:c r="H116" s="145" t="n">
        <x:v>2026</x:v>
      </x:c>
      <x:c r="I116" s="143" t="str">
        <x:v>Chevrolet</x:v>
      </x:c>
      <x:c r="J116" s="143" t="str">
        <x:v>Equinox</x:v>
      </x:c>
      <x:c r="K116" s="143" t="str">
        <x:v>LT</x:v>
      </x:c>
      <x:c r="L116" s="143" t="str">
        <x:v>2026 Chevrolet Equinox LT</x:v>
      </x:c>
      <x:c r="M116" s="146" t="n">
        <x:v>4</x:v>
      </x:c>
      <x:c r="N116" s="147" t="n">
        <x:v>32929</x:v>
      </x:c>
      <x:c r="O116" s="143" t="str">
        <x:v>Listed</x:v>
      </x:c>
      <x:c r="P116" s="143" t="str">
        <x:v>VEH-B92B95822F65</x:v>
      </x:c>
      <x:c r="Q116" s="143" t="str">
        <x:v>ARPIB92B95822F659</x:v>
      </x:c>
      <x:c r="R116" s="145" t="n">
        <x:v>1</x:v>
      </x:c>
      <x:c r="S116" s="143" t="str">
        <x:v>Sanitized public reference data</x:v>
      </x:c>
    </x:row>
    <x:row r="117" ht="19" customHeight="1">
      <x:c r="A117" s="143" t="str">
        <x:v>GSA001-20260802-0116</x:v>
      </x:c>
      <x:c r="B117" s="143" t="str">
        <x:v>GSA-001</x:v>
      </x:c>
      <x:c r="C117" s="143" t="str">
        <x:v>Granite Chevrolet of Nashua</x:v>
      </x:c>
      <x:c r="D117" s="144" t="n">
        <x:v>46236</x:v>
      </x:c>
      <x:c r="E117" s="143" t="str">
        <x:v>GSA001-20260802-001</x:v>
      </x:c>
      <x:c r="F117" s="143" t="str">
        <x:v>sanitized_public_inventory_reference</x:v>
      </x:c>
      <x:c r="G117" s="143" t="str">
        <x:v>New</x:v>
      </x:c>
      <x:c r="H117" s="145" t="n">
        <x:v>2026</x:v>
      </x:c>
      <x:c r="I117" s="143" t="str">
        <x:v>Chevrolet</x:v>
      </x:c>
      <x:c r="J117" s="143" t="str">
        <x:v>Silverado 2500 HD</x:v>
      </x:c>
      <x:c r="K117" s="143" t="str">
        <x:v>ZR2</x:v>
      </x:c>
      <x:c r="L117" s="143" t="str">
        <x:v>2026 Chevrolet Silverado 2500 HD ZR2</x:v>
      </x:c>
      <x:c r="M117" s="146" t="n">
        <x:v>4</x:v>
      </x:c>
      <x:c r="N117" s="147" t="n">
        <x:v>84572</x:v>
      </x:c>
      <x:c r="O117" s="143" t="str">
        <x:v>Listed</x:v>
      </x:c>
      <x:c r="P117" s="143" t="str">
        <x:v>VEH-E06622FF7DA4</x:v>
      </x:c>
      <x:c r="Q117" s="143" t="str">
        <x:v>ARPIE06622FF7DA4F</x:v>
      </x:c>
      <x:c r="R117" s="145" t="n">
        <x:v>1</x:v>
      </x:c>
      <x:c r="S117" s="143" t="str">
        <x:v>Sanitized public reference data</x:v>
      </x:c>
    </x:row>
    <x:row r="118" ht="19" customHeight="1">
      <x:c r="A118" s="143" t="str">
        <x:v>GSA001-20260802-0117</x:v>
      </x:c>
      <x:c r="B118" s="143" t="str">
        <x:v>GSA-001</x:v>
      </x:c>
      <x:c r="C118" s="143" t="str">
        <x:v>Granite Chevrolet of Nashua</x:v>
      </x:c>
      <x:c r="D118" s="144" t="n">
        <x:v>46236</x:v>
      </x:c>
      <x:c r="E118" s="143" t="str">
        <x:v>GSA001-20260802-001</x:v>
      </x:c>
      <x:c r="F118" s="143" t="str">
        <x:v>sanitized_public_inventory_reference</x:v>
      </x:c>
      <x:c r="G118" s="143" t="str">
        <x:v>New</x:v>
      </x:c>
      <x:c r="H118" s="145" t="n">
        <x:v>2026</x:v>
      </x:c>
      <x:c r="I118" s="143" t="str">
        <x:v>Chevrolet</x:v>
      </x:c>
      <x:c r="J118" s="143" t="str">
        <x:v>Equinox</x:v>
      </x:c>
      <x:c r="K118" s="143" t="str">
        <x:v>LT</x:v>
      </x:c>
      <x:c r="L118" s="143" t="str">
        <x:v>2026 Chevrolet Equinox LT</x:v>
      </x:c>
      <x:c r="M118" s="146" t="n">
        <x:v>4</x:v>
      </x:c>
      <x:c r="N118" s="147" t="n">
        <x:v>35069</x:v>
      </x:c>
      <x:c r="O118" s="143" t="str">
        <x:v>Listed</x:v>
      </x:c>
      <x:c r="P118" s="143" t="str">
        <x:v>VEH-2EF17A0D3642</x:v>
      </x:c>
      <x:c r="Q118" s="143" t="str">
        <x:v>ARPI2EF17A0D36422</x:v>
      </x:c>
      <x:c r="R118" s="145" t="n">
        <x:v>1</x:v>
      </x:c>
      <x:c r="S118" s="143" t="str">
        <x:v>Sanitized public reference data</x:v>
      </x:c>
    </x:row>
    <x:row r="119" ht="19" customHeight="1">
      <x:c r="A119" s="143" t="str">
        <x:v>GSA001-20260802-0118</x:v>
      </x:c>
      <x:c r="B119" s="143" t="str">
        <x:v>GSA-001</x:v>
      </x:c>
      <x:c r="C119" s="143" t="str">
        <x:v>Granite Chevrolet of Nashua</x:v>
      </x:c>
      <x:c r="D119" s="144" t="n">
        <x:v>46236</x:v>
      </x:c>
      <x:c r="E119" s="143" t="str">
        <x:v>GSA001-20260802-001</x:v>
      </x:c>
      <x:c r="F119" s="143" t="str">
        <x:v>sanitized_public_inventory_reference</x:v>
      </x:c>
      <x:c r="G119" s="143" t="str">
        <x:v>New</x:v>
      </x:c>
      <x:c r="H119" s="145" t="n">
        <x:v>2026</x:v>
      </x:c>
      <x:c r="I119" s="143" t="str">
        <x:v>Chevrolet</x:v>
      </x:c>
      <x:c r="J119" s="143" t="str">
        <x:v>Silverado 1500</x:v>
      </x:c>
      <x:c r="K119" s="143" t="str">
        <x:v>LT (2FL)</x:v>
      </x:c>
      <x:c r="L119" s="143" t="str">
        <x:v>2026 Chevrolet Silverado 1500 LT (2FL)</x:v>
      </x:c>
      <x:c r="M119" s="146" t="n">
        <x:v>4</x:v>
      </x:c>
      <x:c r="N119" s="147" t="n">
        <x:v>48248</x:v>
      </x:c>
      <x:c r="O119" s="143" t="str">
        <x:v>Listed</x:v>
      </x:c>
      <x:c r="P119" s="143" t="str">
        <x:v>VEH-B97AAD960FEF</x:v>
      </x:c>
      <x:c r="Q119" s="143" t="str">
        <x:v>ARPIB97AAD960FEFF</x:v>
      </x:c>
      <x:c r="R119" s="145" t="n">
        <x:v>1</x:v>
      </x:c>
      <x:c r="S119" s="143" t="str">
        <x:v>Sanitized public reference data</x:v>
      </x:c>
    </x:row>
    <x:row r="120" ht="19" customHeight="1">
      <x:c r="A120" s="143" t="str">
        <x:v>GSA001-20260802-0119</x:v>
      </x:c>
      <x:c r="B120" s="143" t="str">
        <x:v>GSA-001</x:v>
      </x:c>
      <x:c r="C120" s="143" t="str">
        <x:v>Granite Chevrolet of Nashua</x:v>
      </x:c>
      <x:c r="D120" s="144" t="n">
        <x:v>46236</x:v>
      </x:c>
      <x:c r="E120" s="143" t="str">
        <x:v>GSA001-20260802-001</x:v>
      </x:c>
      <x:c r="F120" s="143" t="str">
        <x:v>sanitized_public_inventory_reference</x:v>
      </x:c>
      <x:c r="G120" s="143" t="str">
        <x:v>New</x:v>
      </x:c>
      <x:c r="H120" s="145" t="n">
        <x:v>2026</x:v>
      </x:c>
      <x:c r="I120" s="143" t="str">
        <x:v>Chevrolet</x:v>
      </x:c>
      <x:c r="J120" s="143" t="str">
        <x:v>Traverse</x:v>
      </x:c>
      <x:c r="K120" s="143" t="str">
        <x:v>RS</x:v>
      </x:c>
      <x:c r="L120" s="143" t="str">
        <x:v>2026 Chevrolet Traverse RS</x:v>
      </x:c>
      <x:c r="M120" s="146" t="n">
        <x:v>4</x:v>
      </x:c>
      <x:c r="N120" s="147" t="n">
        <x:v>57073</x:v>
      </x:c>
      <x:c r="O120" s="143" t="str">
        <x:v>Listed</x:v>
      </x:c>
      <x:c r="P120" s="143" t="str">
        <x:v>VEH-130A51ACC10B</x:v>
      </x:c>
      <x:c r="Q120" s="143" t="str">
        <x:v>ARPI130A51ACC10BE</x:v>
      </x:c>
      <x:c r="R120" s="145" t="n">
        <x:v>1</x:v>
      </x:c>
      <x:c r="S120" s="143" t="str">
        <x:v>Sanitized public reference data</x:v>
      </x:c>
    </x:row>
    <x:row r="121" ht="19" customHeight="1">
      <x:c r="A121" s="143" t="str">
        <x:v>GSA001-20260802-0120</x:v>
      </x:c>
      <x:c r="B121" s="143" t="str">
        <x:v>GSA-001</x:v>
      </x:c>
      <x:c r="C121" s="143" t="str">
        <x:v>Granite Chevrolet of Nashua</x:v>
      </x:c>
      <x:c r="D121" s="144" t="n">
        <x:v>46236</x:v>
      </x:c>
      <x:c r="E121" s="143" t="str">
        <x:v>GSA001-20260802-001</x:v>
      </x:c>
      <x:c r="F121" s="143" t="str">
        <x:v>sanitized_public_inventory_reference</x:v>
      </x:c>
      <x:c r="G121" s="143" t="str">
        <x:v>New</x:v>
      </x:c>
      <x:c r="H121" s="145" t="n">
        <x:v>2026</x:v>
      </x:c>
      <x:c r="I121" s="143" t="str">
        <x:v>Chevrolet</x:v>
      </x:c>
      <x:c r="J121" s="143" t="str">
        <x:v>Silverado 1500</x:v>
      </x:c>
      <x:c r="K121" s="143" t="str">
        <x:v>LT (2FL)</x:v>
      </x:c>
      <x:c r="L121" s="143" t="str">
        <x:v>2026 Chevrolet Silverado 1500 LT (2FL)</x:v>
      </x:c>
      <x:c r="M121" s="146" t="n">
        <x:v>4</x:v>
      </x:c>
      <x:c r="N121" s="147" t="n">
        <x:v>49304</x:v>
      </x:c>
      <x:c r="O121" s="143" t="str">
        <x:v>Listed</x:v>
      </x:c>
      <x:c r="P121" s="143" t="str">
        <x:v>VEH-03622101E9F7</x:v>
      </x:c>
      <x:c r="Q121" s="143" t="str">
        <x:v>ARPI03622101E9F75</x:v>
      </x:c>
      <x:c r="R121" s="145" t="n">
        <x:v>1</x:v>
      </x:c>
      <x:c r="S121" s="143" t="str">
        <x:v>Sanitized public reference data</x:v>
      </x:c>
    </x:row>
    <x:row r="122" ht="19" customHeight="1">
      <x:c r="A122" s="143" t="str">
        <x:v>GSA001-20260802-0121</x:v>
      </x:c>
      <x:c r="B122" s="143" t="str">
        <x:v>GSA-001</x:v>
      </x:c>
      <x:c r="C122" s="143" t="str">
        <x:v>Granite Chevrolet of Nashua</x:v>
      </x:c>
      <x:c r="D122" s="144" t="n">
        <x:v>46236</x:v>
      </x:c>
      <x:c r="E122" s="143" t="str">
        <x:v>GSA001-20260802-001</x:v>
      </x:c>
      <x:c r="F122" s="143" t="str">
        <x:v>sanitized_public_inventory_reference</x:v>
      </x:c>
      <x:c r="G122" s="143" t="str">
        <x:v>New</x:v>
      </x:c>
      <x:c r="H122" s="145" t="n">
        <x:v>2026</x:v>
      </x:c>
      <x:c r="I122" s="143" t="str">
        <x:v>Chevrolet</x:v>
      </x:c>
      <x:c r="J122" s="143" t="str">
        <x:v>Traverse</x:v>
      </x:c>
      <x:c r="K122" s="143" t="str">
        <x:v>RS</x:v>
      </x:c>
      <x:c r="L122" s="143" t="str">
        <x:v>2026 Chevrolet Traverse RS</x:v>
      </x:c>
      <x:c r="M122" s="146" t="n">
        <x:v>4</x:v>
      </x:c>
      <x:c r="N122" s="147" t="n">
        <x:v>57525</x:v>
      </x:c>
      <x:c r="O122" s="143" t="str">
        <x:v>Listed</x:v>
      </x:c>
      <x:c r="P122" s="143" t="str">
        <x:v>VEH-F63525B94CBA</x:v>
      </x:c>
      <x:c r="Q122" s="143" t="str">
        <x:v>ARPIF63525B94CBA0</x:v>
      </x:c>
      <x:c r="R122" s="145" t="n">
        <x:v>1</x:v>
      </x:c>
      <x:c r="S122" s="143" t="str">
        <x:v>Sanitized public reference data</x:v>
      </x:c>
    </x:row>
    <x:row r="123" ht="19" customHeight="1">
      <x:c r="A123" s="143" t="str">
        <x:v>GSA001-20260802-0122</x:v>
      </x:c>
      <x:c r="B123" s="143" t="str">
        <x:v>GSA-001</x:v>
      </x:c>
      <x:c r="C123" s="143" t="str">
        <x:v>Granite Chevrolet of Nashua</x:v>
      </x:c>
      <x:c r="D123" s="144" t="n">
        <x:v>46236</x:v>
      </x:c>
      <x:c r="E123" s="143" t="str">
        <x:v>GSA001-20260802-001</x:v>
      </x:c>
      <x:c r="F123" s="143" t="str">
        <x:v>sanitized_public_inventory_reference</x:v>
      </x:c>
      <x:c r="G123" s="143" t="str">
        <x:v>New</x:v>
      </x:c>
      <x:c r="H123" s="145" t="n">
        <x:v>2026</x:v>
      </x:c>
      <x:c r="I123" s="143" t="str">
        <x:v>Chevrolet</x:v>
      </x:c>
      <x:c r="J123" s="143" t="str">
        <x:v>Silverado 1500</x:v>
      </x:c>
      <x:c r="K123" s="143" t="str">
        <x:v>LT</x:v>
      </x:c>
      <x:c r="L123" s="143" t="str">
        <x:v>2026 Chevrolet Silverado 1500 LT</x:v>
      </x:c>
      <x:c r="M123" s="146" t="n">
        <x:v>4</x:v>
      </x:c>
      <x:c r="N123" s="147" t="n">
        <x:v>53803</x:v>
      </x:c>
      <x:c r="O123" s="143" t="str">
        <x:v>Listed</x:v>
      </x:c>
      <x:c r="P123" s="143" t="str">
        <x:v>VEH-066C94BFE5B0</x:v>
      </x:c>
      <x:c r="Q123" s="143" t="str">
        <x:v>ARPI066C94BFE5B0A</x:v>
      </x:c>
      <x:c r="R123" s="145" t="n">
        <x:v>1</x:v>
      </x:c>
      <x:c r="S123" s="143" t="str">
        <x:v>Sanitized public reference data</x:v>
      </x:c>
    </x:row>
    <x:row r="124" ht="19" customHeight="1">
      <x:c r="A124" s="143" t="str">
        <x:v>GSA001-20260802-0123</x:v>
      </x:c>
      <x:c r="B124" s="143" t="str">
        <x:v>GSA-001</x:v>
      </x:c>
      <x:c r="C124" s="143" t="str">
        <x:v>Granite Chevrolet of Nashua</x:v>
      </x:c>
      <x:c r="D124" s="144" t="n">
        <x:v>46236</x:v>
      </x:c>
      <x:c r="E124" s="143" t="str">
        <x:v>GSA001-20260802-001</x:v>
      </x:c>
      <x:c r="F124" s="143" t="str">
        <x:v>sanitized_public_inventory_reference</x:v>
      </x:c>
      <x:c r="G124" s="143" t="str">
        <x:v>New</x:v>
      </x:c>
      <x:c r="H124" s="145" t="n">
        <x:v>2026</x:v>
      </x:c>
      <x:c r="I124" s="143" t="str">
        <x:v>Chevrolet</x:v>
      </x:c>
      <x:c r="J124" s="143" t="str">
        <x:v>Silverado 2500 HD</x:v>
      </x:c>
      <x:c r="K124" s="143" t="str">
        <x:v>LTZ</x:v>
      </x:c>
      <x:c r="L124" s="143" t="str">
        <x:v>2026 Chevrolet Silverado 2500 HD LTZ</x:v>
      </x:c>
      <x:c r="M124" s="146" t="n">
        <x:v>4</x:v>
      </x:c>
      <x:c r="N124" s="147" t="n">
        <x:v>78944</x:v>
      </x:c>
      <x:c r="O124" s="143" t="str">
        <x:v>Listed</x:v>
      </x:c>
      <x:c r="P124" s="143" t="str">
        <x:v>VEH-5FF38C7E1D4F</x:v>
      </x:c>
      <x:c r="Q124" s="143" t="str">
        <x:v>ARPI5FF38C7E1D4F0</x:v>
      </x:c>
      <x:c r="R124" s="145" t="n">
        <x:v>1</x:v>
      </x:c>
      <x:c r="S124" s="143" t="str">
        <x:v>Sanitized public reference data</x:v>
      </x:c>
    </x:row>
    <x:row r="125" ht="19" customHeight="1">
      <x:c r="A125" s="143" t="str">
        <x:v>GSA001-20260802-0124</x:v>
      </x:c>
      <x:c r="B125" s="143" t="str">
        <x:v>GSA-001</x:v>
      </x:c>
      <x:c r="C125" s="143" t="str">
        <x:v>Granite Chevrolet of Nashua</x:v>
      </x:c>
      <x:c r="D125" s="144" t="n">
        <x:v>46236</x:v>
      </x:c>
      <x:c r="E125" s="143" t="str">
        <x:v>GSA001-20260802-001</x:v>
      </x:c>
      <x:c r="F125" s="143" t="str">
        <x:v>sanitized_public_inventory_reference</x:v>
      </x:c>
      <x:c r="G125" s="143" t="str">
        <x:v>New</x:v>
      </x:c>
      <x:c r="H125" s="145" t="n">
        <x:v>2026</x:v>
      </x:c>
      <x:c r="I125" s="143" t="str">
        <x:v>Chevrolet</x:v>
      </x:c>
      <x:c r="J125" s="143" t="str">
        <x:v>Suburban</x:v>
      </x:c>
      <x:c r="K125" s="143" t="str">
        <x:v>Premier</x:v>
      </x:c>
      <x:c r="L125" s="143" t="str">
        <x:v>2026 Chevrolet Suburban Premier</x:v>
      </x:c>
      <x:c r="M125" s="146" t="n">
        <x:v>4</x:v>
      </x:c>
      <x:c r="N125" s="147" t="n">
        <x:v>82702</x:v>
      </x:c>
      <x:c r="O125" s="143" t="str">
        <x:v>Listed</x:v>
      </x:c>
      <x:c r="P125" s="143" t="str">
        <x:v>VEH-2F60C4F010C0</x:v>
      </x:c>
      <x:c r="Q125" s="143" t="str">
        <x:v>ARPI2F60C4F010C03</x:v>
      </x:c>
      <x:c r="R125" s="145" t="n">
        <x:v>1</x:v>
      </x:c>
      <x:c r="S125" s="143" t="str">
        <x:v>Sanitized public reference data</x:v>
      </x:c>
    </x:row>
    <x:row r="126" ht="19" customHeight="1">
      <x:c r="A126" s="143" t="str">
        <x:v>GSA001-20260802-0125</x:v>
      </x:c>
      <x:c r="B126" s="143" t="str">
        <x:v>GSA-001</x:v>
      </x:c>
      <x:c r="C126" s="143" t="str">
        <x:v>Granite Chevrolet of Nashua</x:v>
      </x:c>
      <x:c r="D126" s="144" t="n">
        <x:v>46236</x:v>
      </x:c>
      <x:c r="E126" s="143" t="str">
        <x:v>GSA001-20260802-001</x:v>
      </x:c>
      <x:c r="F126" s="143" t="str">
        <x:v>sanitized_public_inventory_reference</x:v>
      </x:c>
      <x:c r="G126" s="143" t="str">
        <x:v>New</x:v>
      </x:c>
      <x:c r="H126" s="145" t="n">
        <x:v>2026</x:v>
      </x:c>
      <x:c r="I126" s="143" t="str">
        <x:v>Chevrolet</x:v>
      </x:c>
      <x:c r="J126" s="143" t="str">
        <x:v>Colorado</x:v>
      </x:c>
      <x:c r="K126" s="143" t="str">
        <x:v>LT</x:v>
      </x:c>
      <x:c r="L126" s="143" t="str">
        <x:v>2026 Chevrolet Colorado LT</x:v>
      </x:c>
      <x:c r="M126" s="146" t="n">
        <x:v>4</x:v>
      </x:c>
      <x:c r="N126" s="147" t="n">
        <x:v>43342</x:v>
      </x:c>
      <x:c r="O126" s="143" t="str">
        <x:v>Listed</x:v>
      </x:c>
      <x:c r="P126" s="143" t="str">
        <x:v>VEH-7E386EEF603B</x:v>
      </x:c>
      <x:c r="Q126" s="143" t="str">
        <x:v>ARPI7E386EEF603B7</x:v>
      </x:c>
      <x:c r="R126" s="145" t="n">
        <x:v>1</x:v>
      </x:c>
      <x:c r="S126" s="143" t="str">
        <x:v>Sanitized public reference data</x:v>
      </x:c>
    </x:row>
    <x:row r="127" ht="19" customHeight="1">
      <x:c r="A127" s="143" t="str">
        <x:v>GSA001-20260802-0126</x:v>
      </x:c>
      <x:c r="B127" s="143" t="str">
        <x:v>GSA-001</x:v>
      </x:c>
      <x:c r="C127" s="143" t="str">
        <x:v>Granite Chevrolet of Nashua</x:v>
      </x:c>
      <x:c r="D127" s="144" t="n">
        <x:v>46236</x:v>
      </x:c>
      <x:c r="E127" s="143" t="str">
        <x:v>GSA001-20260802-001</x:v>
      </x:c>
      <x:c r="F127" s="143" t="str">
        <x:v>sanitized_public_inventory_reference</x:v>
      </x:c>
      <x:c r="G127" s="143" t="str">
        <x:v>New</x:v>
      </x:c>
      <x:c r="H127" s="145" t="n">
        <x:v>2026</x:v>
      </x:c>
      <x:c r="I127" s="143" t="str">
        <x:v>Chevrolet</x:v>
      </x:c>
      <x:c r="J127" s="143" t="str">
        <x:v>Traverse</x:v>
      </x:c>
      <x:c r="K127" s="143" t="str">
        <x:v>LT</x:v>
      </x:c>
      <x:c r="L127" s="143" t="str">
        <x:v>2026 Chevrolet Traverse LT</x:v>
      </x:c>
      <x:c r="M127" s="146" t="n">
        <x:v>3</x:v>
      </x:c>
      <x:c r="N127" s="147" t="n">
        <x:v>41412</x:v>
      </x:c>
      <x:c r="O127" s="143" t="str">
        <x:v>Listed</x:v>
      </x:c>
      <x:c r="P127" s="143" t="str">
        <x:v>VEH-19C00F65D38E</x:v>
      </x:c>
      <x:c r="Q127" s="143" t="str">
        <x:v>ARPI19C00F65D38E9</x:v>
      </x:c>
      <x:c r="R127" s="145" t="n">
        <x:v>1</x:v>
      </x:c>
      <x:c r="S127" s="143" t="str">
        <x:v>Sanitized public reference data</x:v>
      </x:c>
    </x:row>
    <x:row r="128" ht="19" customHeight="1">
      <x:c r="A128" s="143" t="str">
        <x:v>GSA001-20260802-0127</x:v>
      </x:c>
      <x:c r="B128" s="143" t="str">
        <x:v>GSA-001</x:v>
      </x:c>
      <x:c r="C128" s="143" t="str">
        <x:v>Granite Chevrolet of Nashua</x:v>
      </x:c>
      <x:c r="D128" s="144" t="n">
        <x:v>46236</x:v>
      </x:c>
      <x:c r="E128" s="143" t="str">
        <x:v>GSA001-20260802-001</x:v>
      </x:c>
      <x:c r="F128" s="143" t="str">
        <x:v>sanitized_public_inventory_reference</x:v>
      </x:c>
      <x:c r="G128" s="143" t="str">
        <x:v>New</x:v>
      </x:c>
      <x:c r="H128" s="145" t="n">
        <x:v>2026</x:v>
      </x:c>
      <x:c r="I128" s="143" t="str">
        <x:v>Chevrolet</x:v>
      </x:c>
      <x:c r="J128" s="143" t="str">
        <x:v>Suburban</x:v>
      </x:c>
      <x:c r="K128" s="143" t="str">
        <x:v>Premier</x:v>
      </x:c>
      <x:c r="L128" s="143" t="str">
        <x:v>2026 Chevrolet Suburban Premier</x:v>
      </x:c>
      <x:c r="M128" s="146" t="n">
        <x:v>4</x:v>
      </x:c>
      <x:c r="N128" s="147" t="n">
        <x:v>82493</x:v>
      </x:c>
      <x:c r="O128" s="143" t="str">
        <x:v>Listed</x:v>
      </x:c>
      <x:c r="P128" s="143" t="str">
        <x:v>VEH-359D59531E1B</x:v>
      </x:c>
      <x:c r="Q128" s="143" t="str">
        <x:v>ARPI359D59531E1B7</x:v>
      </x:c>
      <x:c r="R128" s="145" t="n">
        <x:v>1</x:v>
      </x:c>
      <x:c r="S128" s="143" t="str">
        <x:v>Sanitized public reference data</x:v>
      </x:c>
    </x:row>
    <x:row r="129" ht="19" customHeight="1">
      <x:c r="A129" s="143" t="str">
        <x:v>GSA001-20260802-0128</x:v>
      </x:c>
      <x:c r="B129" s="143" t="str">
        <x:v>GSA-001</x:v>
      </x:c>
      <x:c r="C129" s="143" t="str">
        <x:v>Granite Chevrolet of Nashua</x:v>
      </x:c>
      <x:c r="D129" s="144" t="n">
        <x:v>46236</x:v>
      </x:c>
      <x:c r="E129" s="143" t="str">
        <x:v>GSA001-20260802-001</x:v>
      </x:c>
      <x:c r="F129" s="143" t="str">
        <x:v>sanitized_public_inventory_reference</x:v>
      </x:c>
      <x:c r="G129" s="143" t="str">
        <x:v>New</x:v>
      </x:c>
      <x:c r="H129" s="145" t="n">
        <x:v>2026</x:v>
      </x:c>
      <x:c r="I129" s="143" t="str">
        <x:v>Chevrolet</x:v>
      </x:c>
      <x:c r="J129" s="143" t="str">
        <x:v>Silverado 2500 HD</x:v>
      </x:c>
      <x:c r="K129" s="143" t="str">
        <x:v>High Country</x:v>
      </x:c>
      <x:c r="L129" s="143" t="str">
        <x:v>2026 Chevrolet Silverado 2500 HD High Country</x:v>
      </x:c>
      <x:c r="M129" s="146" t="n">
        <x:v>4</x:v>
      </x:c>
      <x:c r="N129" s="147" t="n">
        <x:v>84605</x:v>
      </x:c>
      <x:c r="O129" s="143" t="str">
        <x:v>Listed</x:v>
      </x:c>
      <x:c r="P129" s="143" t="str">
        <x:v>VEH-887B2E515F9A</x:v>
      </x:c>
      <x:c r="Q129" s="143" t="str">
        <x:v>ARPI887B2E515F9A5</x:v>
      </x:c>
      <x:c r="R129" s="145" t="n">
        <x:v>1</x:v>
      </x:c>
      <x:c r="S129" s="143" t="str">
        <x:v>Sanitized public reference data</x:v>
      </x:c>
    </x:row>
    <x:row r="130" ht="19" customHeight="1">
      <x:c r="A130" s="143" t="str">
        <x:v>GSA001-20260802-0129</x:v>
      </x:c>
      <x:c r="B130" s="143" t="str">
        <x:v>GSA-001</x:v>
      </x:c>
      <x:c r="C130" s="143" t="str">
        <x:v>Granite Chevrolet of Nashua</x:v>
      </x:c>
      <x:c r="D130" s="144" t="n">
        <x:v>46236</x:v>
      </x:c>
      <x:c r="E130" s="143" t="str">
        <x:v>GSA001-20260802-001</x:v>
      </x:c>
      <x:c r="F130" s="143" t="str">
        <x:v>sanitized_public_inventory_reference</x:v>
      </x:c>
      <x:c r="G130" s="143" t="str">
        <x:v>New</x:v>
      </x:c>
      <x:c r="H130" s="145" t="n">
        <x:v>2026</x:v>
      </x:c>
      <x:c r="I130" s="143" t="str">
        <x:v>Chevrolet</x:v>
      </x:c>
      <x:c r="J130" s="143" t="str">
        <x:v>Silverado 2500 HD</x:v>
      </x:c>
      <x:c r="K130" s="143" t="str">
        <x:v>Custom</x:v>
      </x:c>
      <x:c r="L130" s="143" t="str">
        <x:v>2026 Chevrolet Silverado 2500 HD Custom</x:v>
      </x:c>
      <x:c r="M130" s="146" t="n">
        <x:v>4</x:v>
      </x:c>
      <x:c r="N130" s="147" t="n">
        <x:v>65340</x:v>
      </x:c>
      <x:c r="O130" s="143" t="str">
        <x:v>Listed</x:v>
      </x:c>
      <x:c r="P130" s="143" t="str">
        <x:v>VEH-BC33723BB393</x:v>
      </x:c>
      <x:c r="Q130" s="143" t="str">
        <x:v>ARPIBC33723BB3939</x:v>
      </x:c>
      <x:c r="R130" s="145" t="n">
        <x:v>1</x:v>
      </x:c>
      <x:c r="S130" s="143" t="str">
        <x:v>Sanitized public reference data</x:v>
      </x:c>
    </x:row>
    <x:row r="131" ht="19" customHeight="1">
      <x:c r="A131" s="143" t="str">
        <x:v>GSA001-20260802-0130</x:v>
      </x:c>
      <x:c r="B131" s="143" t="str">
        <x:v>GSA-001</x:v>
      </x:c>
      <x:c r="C131" s="143" t="str">
        <x:v>Granite Chevrolet of Nashua</x:v>
      </x:c>
      <x:c r="D131" s="144" t="n">
        <x:v>46236</x:v>
      </x:c>
      <x:c r="E131" s="143" t="str">
        <x:v>GSA001-20260802-001</x:v>
      </x:c>
      <x:c r="F131" s="143" t="str">
        <x:v>sanitized_public_inventory_reference</x:v>
      </x:c>
      <x:c r="G131" s="143" t="str">
        <x:v>New</x:v>
      </x:c>
      <x:c r="H131" s="145" t="n">
        <x:v>2026</x:v>
      </x:c>
      <x:c r="I131" s="143" t="str">
        <x:v>Chevrolet</x:v>
      </x:c>
      <x:c r="J131" s="143" t="str">
        <x:v>Traverse</x:v>
      </x:c>
      <x:c r="K131" s="143" t="str">
        <x:v>LT</x:v>
      </x:c>
      <x:c r="L131" s="143" t="str">
        <x:v>2026 Chevrolet Traverse LT</x:v>
      </x:c>
      <x:c r="M131" s="146" t="n">
        <x:v>4</x:v>
      </x:c>
      <x:c r="N131" s="147" t="n">
        <x:v>42520</x:v>
      </x:c>
      <x:c r="O131" s="143" t="str">
        <x:v>Listed</x:v>
      </x:c>
      <x:c r="P131" s="143" t="str">
        <x:v>VEH-7225525F3389</x:v>
      </x:c>
      <x:c r="Q131" s="143" t="str">
        <x:v>ARPI7225525F33893</x:v>
      </x:c>
      <x:c r="R131" s="145" t="n">
        <x:v>1</x:v>
      </x:c>
      <x:c r="S131" s="143" t="str">
        <x:v>Sanitized public reference data</x:v>
      </x:c>
    </x:row>
    <x:row r="132" ht="19" customHeight="1">
      <x:c r="A132" s="143" t="str">
        <x:v>GSA001-20260802-0131</x:v>
      </x:c>
      <x:c r="B132" s="143" t="str">
        <x:v>GSA-001</x:v>
      </x:c>
      <x:c r="C132" s="143" t="str">
        <x:v>Granite Chevrolet of Nashua</x:v>
      </x:c>
      <x:c r="D132" s="144" t="n">
        <x:v>46236</x:v>
      </x:c>
      <x:c r="E132" s="143" t="str">
        <x:v>GSA001-20260802-001</x:v>
      </x:c>
      <x:c r="F132" s="143" t="str">
        <x:v>sanitized_public_inventory_reference</x:v>
      </x:c>
      <x:c r="G132" s="143" t="str">
        <x:v>New</x:v>
      </x:c>
      <x:c r="H132" s="145" t="n">
        <x:v>2026</x:v>
      </x:c>
      <x:c r="I132" s="143" t="str">
        <x:v>Chevrolet</x:v>
      </x:c>
      <x:c r="J132" s="143" t="str">
        <x:v>Trax</x:v>
      </x:c>
      <x:c r="K132" s="143" t="str">
        <x:v>LS</x:v>
      </x:c>
      <x:c r="L132" s="143" t="str">
        <x:v>2026 Chevrolet Trax LS</x:v>
      </x:c>
      <x:c r="M132" s="146" t="n">
        <x:v>4</x:v>
      </x:c>
      <x:c r="N132" s="147" t="n">
        <x:v>22716</x:v>
      </x:c>
      <x:c r="O132" s="143" t="str">
        <x:v>Listed</x:v>
      </x:c>
      <x:c r="P132" s="143" t="str">
        <x:v>VEH-68A1C19DC38D</x:v>
      </x:c>
      <x:c r="Q132" s="143" t="str">
        <x:v>ARPI68A1C19DC38D4</x:v>
      </x:c>
      <x:c r="R132" s="145" t="n">
        <x:v>1</x:v>
      </x:c>
      <x:c r="S132" s="143" t="str">
        <x:v>Sanitized public reference data</x:v>
      </x:c>
    </x:row>
    <x:row r="133" ht="19" customHeight="1">
      <x:c r="A133" s="143" t="str">
        <x:v>GSA001-20260802-0132</x:v>
      </x:c>
      <x:c r="B133" s="143" t="str">
        <x:v>GSA-001</x:v>
      </x:c>
      <x:c r="C133" s="143" t="str">
        <x:v>Granite Chevrolet of Nashua</x:v>
      </x:c>
      <x:c r="D133" s="144" t="n">
        <x:v>46236</x:v>
      </x:c>
      <x:c r="E133" s="143" t="str">
        <x:v>GSA001-20260802-001</x:v>
      </x:c>
      <x:c r="F133" s="143" t="str">
        <x:v>sanitized_public_inventory_reference</x:v>
      </x:c>
      <x:c r="G133" s="143" t="str">
        <x:v>New</x:v>
      </x:c>
      <x:c r="H133" s="145" t="n">
        <x:v>2026</x:v>
      </x:c>
      <x:c r="I133" s="143" t="str">
        <x:v>Chevrolet</x:v>
      </x:c>
      <x:c r="J133" s="143" t="str">
        <x:v>Silverado 1500</x:v>
      </x:c>
      <x:c r="K133" s="143" t="str">
        <x:v>RST</x:v>
      </x:c>
      <x:c r="L133" s="143" t="str">
        <x:v>2026 Chevrolet Silverado 1500 RST</x:v>
      </x:c>
      <x:c r="M133" s="146" t="n">
        <x:v>3</x:v>
      </x:c>
      <x:c r="N133" s="147" t="n">
        <x:v>52054</x:v>
      </x:c>
      <x:c r="O133" s="143" t="str">
        <x:v>Listed</x:v>
      </x:c>
      <x:c r="P133" s="143" t="str">
        <x:v>VEH-CD106872E476</x:v>
      </x:c>
      <x:c r="Q133" s="143" t="str">
        <x:v>ARPICD106872E476C</x:v>
      </x:c>
      <x:c r="R133" s="145" t="n">
        <x:v>1</x:v>
      </x:c>
      <x:c r="S133" s="143" t="str">
        <x:v>Sanitized public reference data</x:v>
      </x:c>
    </x:row>
    <x:row r="134" ht="19" customHeight="1">
      <x:c r="A134" s="143" t="str">
        <x:v>GSA001-20260802-0133</x:v>
      </x:c>
      <x:c r="B134" s="143" t="str">
        <x:v>GSA-001</x:v>
      </x:c>
      <x:c r="C134" s="143" t="str">
        <x:v>Granite Chevrolet of Nashua</x:v>
      </x:c>
      <x:c r="D134" s="144" t="n">
        <x:v>46236</x:v>
      </x:c>
      <x:c r="E134" s="143" t="str">
        <x:v>GSA001-20260802-001</x:v>
      </x:c>
      <x:c r="F134" s="143" t="str">
        <x:v>sanitized_public_inventory_reference</x:v>
      </x:c>
      <x:c r="G134" s="143" t="str">
        <x:v>New</x:v>
      </x:c>
      <x:c r="H134" s="145" t="n">
        <x:v>2026</x:v>
      </x:c>
      <x:c r="I134" s="143" t="str">
        <x:v>Chevrolet</x:v>
      </x:c>
      <x:c r="J134" s="143" t="str">
        <x:v>Suburban</x:v>
      </x:c>
      <x:c r="K134" s="143" t="str">
        <x:v>Premier</x:v>
      </x:c>
      <x:c r="L134" s="143" t="str">
        <x:v>2026 Chevrolet Suburban Premier</x:v>
      </x:c>
      <x:c r="M134" s="146" t="n">
        <x:v>4</x:v>
      </x:c>
      <x:c r="N134" s="147" t="n">
        <x:v>81322</x:v>
      </x:c>
      <x:c r="O134" s="143" t="str">
        <x:v>Listed</x:v>
      </x:c>
      <x:c r="P134" s="143" t="str">
        <x:v>VEH-4F069C77E9C3</x:v>
      </x:c>
      <x:c r="Q134" s="143" t="str">
        <x:v>ARPI4F069C77E9C3F</x:v>
      </x:c>
      <x:c r="R134" s="145" t="n">
        <x:v>1</x:v>
      </x:c>
      <x:c r="S134" s="143" t="str">
        <x:v>Sanitized public reference data</x:v>
      </x:c>
    </x:row>
    <x:row r="135" ht="19" customHeight="1">
      <x:c r="A135" s="143" t="str">
        <x:v>GSA001-20260802-0134</x:v>
      </x:c>
      <x:c r="B135" s="143" t="str">
        <x:v>GSA-001</x:v>
      </x:c>
      <x:c r="C135" s="143" t="str">
        <x:v>Granite Chevrolet of Nashua</x:v>
      </x:c>
      <x:c r="D135" s="144" t="n">
        <x:v>46236</x:v>
      </x:c>
      <x:c r="E135" s="143" t="str">
        <x:v>GSA001-20260802-001</x:v>
      </x:c>
      <x:c r="F135" s="143" t="str">
        <x:v>sanitized_public_inventory_reference</x:v>
      </x:c>
      <x:c r="G135" s="143" t="str">
        <x:v>New</x:v>
      </x:c>
      <x:c r="H135" s="145" t="n">
        <x:v>2026</x:v>
      </x:c>
      <x:c r="I135" s="143" t="str">
        <x:v>Chevrolet</x:v>
      </x:c>
      <x:c r="J135" s="143" t="str">
        <x:v>Tahoe</x:v>
      </x:c>
      <x:c r="K135" s="143" t="str">
        <x:v>Premier</x:v>
      </x:c>
      <x:c r="L135" s="143" t="str">
        <x:v>2026 Chevrolet Tahoe Premier</x:v>
      </x:c>
      <x:c r="M135" s="146" t="n">
        <x:v>4</x:v>
      </x:c>
      <x:c r="N135" s="147" t="n">
        <x:v>78499</x:v>
      </x:c>
      <x:c r="O135" s="143" t="str">
        <x:v>Listed</x:v>
      </x:c>
      <x:c r="P135" s="143" t="str">
        <x:v>VEH-6FBC2174E427</x:v>
      </x:c>
      <x:c r="Q135" s="143" t="str">
        <x:v>ARPI6FBC2174E4274</x:v>
      </x:c>
      <x:c r="R135" s="145" t="n">
        <x:v>1</x:v>
      </x:c>
      <x:c r="S135" s="143" t="str">
        <x:v>Sanitized public reference data</x:v>
      </x:c>
    </x:row>
    <x:row r="136" ht="19" customHeight="1">
      <x:c r="A136" s="143" t="str">
        <x:v>GSA001-20260802-0135</x:v>
      </x:c>
      <x:c r="B136" s="143" t="str">
        <x:v>GSA-001</x:v>
      </x:c>
      <x:c r="C136" s="143" t="str">
        <x:v>Granite Chevrolet of Nashua</x:v>
      </x:c>
      <x:c r="D136" s="144" t="n">
        <x:v>46236</x:v>
      </x:c>
      <x:c r="E136" s="143" t="str">
        <x:v>GSA001-20260802-001</x:v>
      </x:c>
      <x:c r="F136" s="143" t="str">
        <x:v>sanitized_public_inventory_reference</x:v>
      </x:c>
      <x:c r="G136" s="143" t="str">
        <x:v>New</x:v>
      </x:c>
      <x:c r="H136" s="145" t="n">
        <x:v>2026</x:v>
      </x:c>
      <x:c r="I136" s="143" t="str">
        <x:v>Chevrolet</x:v>
      </x:c>
      <x:c r="J136" s="143" t="str">
        <x:v>Silverado 1500</x:v>
      </x:c>
      <x:c r="K136" s="143" t="str">
        <x:v>LT (2FL)</x:v>
      </x:c>
      <x:c r="L136" s="143" t="str">
        <x:v>2026 Chevrolet Silverado 1500 LT (2FL)</x:v>
      </x:c>
      <x:c r="M136" s="146" t="n">
        <x:v>4</x:v>
      </x:c>
      <x:c r="N136" s="147" t="n">
        <x:v>48948</x:v>
      </x:c>
      <x:c r="O136" s="143" t="str">
        <x:v>Listed</x:v>
      </x:c>
      <x:c r="P136" s="143" t="str">
        <x:v>VEH-C6DC4B2CE1BA</x:v>
      </x:c>
      <x:c r="Q136" s="143" t="str">
        <x:v>ARPIC6DC4B2CE1BAD</x:v>
      </x:c>
      <x:c r="R136" s="145" t="n">
        <x:v>1</x:v>
      </x:c>
      <x:c r="S136" s="143" t="str">
        <x:v>Sanitized public reference data</x:v>
      </x:c>
    </x:row>
    <x:row r="137" ht="19" customHeight="1">
      <x:c r="A137" s="143" t="str">
        <x:v>GSA001-20260802-0136</x:v>
      </x:c>
      <x:c r="B137" s="143" t="str">
        <x:v>GSA-001</x:v>
      </x:c>
      <x:c r="C137" s="143" t="str">
        <x:v>Granite Chevrolet of Nashua</x:v>
      </x:c>
      <x:c r="D137" s="144" t="n">
        <x:v>46236</x:v>
      </x:c>
      <x:c r="E137" s="143" t="str">
        <x:v>GSA001-20260802-001</x:v>
      </x:c>
      <x:c r="F137" s="143" t="str">
        <x:v>sanitized_public_inventory_reference</x:v>
      </x:c>
      <x:c r="G137" s="143" t="str">
        <x:v>New</x:v>
      </x:c>
      <x:c r="H137" s="145" t="n">
        <x:v>2026</x:v>
      </x:c>
      <x:c r="I137" s="143" t="str">
        <x:v>Chevrolet</x:v>
      </x:c>
      <x:c r="J137" s="143" t="str">
        <x:v>Colorado</x:v>
      </x:c>
      <x:c r="K137" s="143" t="str">
        <x:v>WT</x:v>
      </x:c>
      <x:c r="L137" s="143" t="str">
        <x:v>2026 Chevrolet Colorado WT</x:v>
      </x:c>
      <x:c r="M137" s="146" t="n">
        <x:v>4</x:v>
      </x:c>
      <x:c r="N137" s="147" t="n">
        <x:v>37344</x:v>
      </x:c>
      <x:c r="O137" s="143" t="str">
        <x:v>Listed</x:v>
      </x:c>
      <x:c r="P137" s="143" t="str">
        <x:v>VEH-EC8A9A89F038</x:v>
      </x:c>
      <x:c r="Q137" s="143" t="str">
        <x:v>ARPIEC8A9A89F038C</x:v>
      </x:c>
      <x:c r="R137" s="145" t="n">
        <x:v>1</x:v>
      </x:c>
      <x:c r="S137" s="143" t="str">
        <x:v>Sanitized public reference data</x:v>
      </x:c>
    </x:row>
    <x:row r="138" ht="19" customHeight="1">
      <x:c r="A138" s="143" t="str">
        <x:v>GSA001-20260802-0137</x:v>
      </x:c>
      <x:c r="B138" s="143" t="str">
        <x:v>GSA-001</x:v>
      </x:c>
      <x:c r="C138" s="143" t="str">
        <x:v>Granite Chevrolet of Nashua</x:v>
      </x:c>
      <x:c r="D138" s="144" t="n">
        <x:v>46236</x:v>
      </x:c>
      <x:c r="E138" s="143" t="str">
        <x:v>GSA001-20260802-001</x:v>
      </x:c>
      <x:c r="F138" s="143" t="str">
        <x:v>sanitized_public_inventory_reference</x:v>
      </x:c>
      <x:c r="G138" s="143" t="str">
        <x:v>New</x:v>
      </x:c>
      <x:c r="H138" s="145" t="n">
        <x:v>2026</x:v>
      </x:c>
      <x:c r="I138" s="143" t="str">
        <x:v>Chevrolet</x:v>
      </x:c>
      <x:c r="J138" s="143" t="str">
        <x:v>Trax</x:v>
      </x:c>
      <x:c r="K138" s="143" t="str">
        <x:v>2RS</x:v>
      </x:c>
      <x:c r="L138" s="143" t="str">
        <x:v>2026 Chevrolet Trax 2RS</x:v>
      </x:c>
      <x:c r="M138" s="146" t="n">
        <x:v>4</x:v>
      </x:c>
      <x:c r="N138" s="147" t="n">
        <x:v>27173</x:v>
      </x:c>
      <x:c r="O138" s="143" t="str">
        <x:v>Listed</x:v>
      </x:c>
      <x:c r="P138" s="143" t="str">
        <x:v>VEH-A3A61E6482D9</x:v>
      </x:c>
      <x:c r="Q138" s="143" t="str">
        <x:v>ARPIA3A61E6482D9B</x:v>
      </x:c>
      <x:c r="R138" s="145" t="n">
        <x:v>1</x:v>
      </x:c>
      <x:c r="S138" s="143" t="str">
        <x:v>Sanitized public reference data</x:v>
      </x:c>
    </x:row>
    <x:row r="139" ht="19" customHeight="1">
      <x:c r="A139" s="143" t="str">
        <x:v>GSA001-20260802-0138</x:v>
      </x:c>
      <x:c r="B139" s="143" t="str">
        <x:v>GSA-001</x:v>
      </x:c>
      <x:c r="C139" s="143" t="str">
        <x:v>Granite Chevrolet of Nashua</x:v>
      </x:c>
      <x:c r="D139" s="144" t="n">
        <x:v>46236</x:v>
      </x:c>
      <x:c r="E139" s="143" t="str">
        <x:v>GSA001-20260802-001</x:v>
      </x:c>
      <x:c r="F139" s="143" t="str">
        <x:v>sanitized_public_inventory_reference</x:v>
      </x:c>
      <x:c r="G139" s="143" t="str">
        <x:v>New</x:v>
      </x:c>
      <x:c r="H139" s="145" t="n">
        <x:v>2026</x:v>
      </x:c>
      <x:c r="I139" s="143" t="str">
        <x:v>Chevrolet</x:v>
      </x:c>
      <x:c r="J139" s="143" t="str">
        <x:v>Traverse</x:v>
      </x:c>
      <x:c r="K139" s="143" t="str">
        <x:v>RS</x:v>
      </x:c>
      <x:c r="L139" s="143" t="str">
        <x:v>2026 Chevrolet Traverse RS</x:v>
      </x:c>
      <x:c r="M139" s="146" t="n">
        <x:v>4</x:v>
      </x:c>
      <x:c r="N139" s="147" t="n">
        <x:v>56625</x:v>
      </x:c>
      <x:c r="O139" s="143" t="str">
        <x:v>Listed</x:v>
      </x:c>
      <x:c r="P139" s="143" t="str">
        <x:v>VEH-FE625349D152</x:v>
      </x:c>
      <x:c r="Q139" s="143" t="str">
        <x:v>ARPIFE625349D1525</x:v>
      </x:c>
      <x:c r="R139" s="145" t="n">
        <x:v>1</x:v>
      </x:c>
      <x:c r="S139" s="143" t="str">
        <x:v>Sanitized public reference data</x:v>
      </x:c>
    </x:row>
    <x:row r="140" ht="19" customHeight="1">
      <x:c r="A140" s="143" t="str">
        <x:v>GSA001-20260802-0139</x:v>
      </x:c>
      <x:c r="B140" s="143" t="str">
        <x:v>GSA-001</x:v>
      </x:c>
      <x:c r="C140" s="143" t="str">
        <x:v>Granite Chevrolet of Nashua</x:v>
      </x:c>
      <x:c r="D140" s="144" t="n">
        <x:v>46236</x:v>
      </x:c>
      <x:c r="E140" s="143" t="str">
        <x:v>GSA001-20260802-001</x:v>
      </x:c>
      <x:c r="F140" s="143" t="str">
        <x:v>sanitized_public_inventory_reference</x:v>
      </x:c>
      <x:c r="G140" s="143" t="str">
        <x:v>New</x:v>
      </x:c>
      <x:c r="H140" s="145" t="n">
        <x:v>2026</x:v>
      </x:c>
      <x:c r="I140" s="143" t="str">
        <x:v>Chevrolet</x:v>
      </x:c>
      <x:c r="J140" s="143" t="str">
        <x:v>Trax</x:v>
      </x:c>
      <x:c r="K140" s="143" t="str">
        <x:v>1RS</x:v>
      </x:c>
      <x:c r="L140" s="143" t="str">
        <x:v>2026 Chevrolet Trax 1RS</x:v>
      </x:c>
      <x:c r="M140" s="146" t="n">
        <x:v>4</x:v>
      </x:c>
      <x:c r="N140" s="147" t="n">
        <x:v>25246</x:v>
      </x:c>
      <x:c r="O140" s="143" t="str">
        <x:v>Listed</x:v>
      </x:c>
      <x:c r="P140" s="143" t="str">
        <x:v>VEH-23A4EE097573</x:v>
      </x:c>
      <x:c r="Q140" s="143" t="str">
        <x:v>ARPI23A4EE0975734</x:v>
      </x:c>
      <x:c r="R140" s="145" t="n">
        <x:v>1</x:v>
      </x:c>
      <x:c r="S140" s="143" t="str">
        <x:v>Sanitized public reference data</x:v>
      </x:c>
    </x:row>
    <x:row r="141" ht="19" customHeight="1">
      <x:c r="A141" s="143" t="str">
        <x:v>GSA001-20260802-0140</x:v>
      </x:c>
      <x:c r="B141" s="143" t="str">
        <x:v>GSA-001</x:v>
      </x:c>
      <x:c r="C141" s="143" t="str">
        <x:v>Granite Chevrolet of Nashua</x:v>
      </x:c>
      <x:c r="D141" s="144" t="n">
        <x:v>46236</x:v>
      </x:c>
      <x:c r="E141" s="143" t="str">
        <x:v>GSA001-20260802-001</x:v>
      </x:c>
      <x:c r="F141" s="143" t="str">
        <x:v>sanitized_public_inventory_reference</x:v>
      </x:c>
      <x:c r="G141" s="143" t="str">
        <x:v>New</x:v>
      </x:c>
      <x:c r="H141" s="145" t="n">
        <x:v>2027</x:v>
      </x:c>
      <x:c r="I141" s="143" t="str">
        <x:v>Chevrolet</x:v>
      </x:c>
      <x:c r="J141" s="143" t="str">
        <x:v>Corvette Stingray</x:v>
      </x:c>
      <x:c r="K141" s="143" t="str">
        <x:v>1LT</x:v>
      </x:c>
      <x:c r="L141" s="143" t="str">
        <x:v>2027 Chevrolet Corvette Stingray 1LT</x:v>
      </x:c>
      <x:c r="M141" s="146" t="n">
        <x:v>3</x:v>
      </x:c>
      <x:c r="N141" s="147" t="n">
        <x:v>81294</x:v>
      </x:c>
      <x:c r="O141" s="143" t="str">
        <x:v>Listed</x:v>
      </x:c>
      <x:c r="P141" s="143" t="str">
        <x:v>VEH-BC27E2E2F6E8</x:v>
      </x:c>
      <x:c r="Q141" s="143" t="str">
        <x:v>ARPIBC27E2E2F6E8C</x:v>
      </x:c>
      <x:c r="R141" s="145" t="n">
        <x:v>1</x:v>
      </x:c>
      <x:c r="S141" s="143" t="str">
        <x:v>Sanitized public reference data</x:v>
      </x:c>
    </x:row>
    <x:row r="142" ht="19" customHeight="1">
      <x:c r="A142" s="143" t="str">
        <x:v>GSA001-20260802-0141</x:v>
      </x:c>
      <x:c r="B142" s="143" t="str">
        <x:v>GSA-001</x:v>
      </x:c>
      <x:c r="C142" s="143" t="str">
        <x:v>Granite Chevrolet of Nashua</x:v>
      </x:c>
      <x:c r="D142" s="144" t="n">
        <x:v>46236</x:v>
      </x:c>
      <x:c r="E142" s="143" t="str">
        <x:v>GSA001-20260802-001</x:v>
      </x:c>
      <x:c r="F142" s="143" t="str">
        <x:v>sanitized_public_inventory_reference</x:v>
      </x:c>
      <x:c r="G142" s="143" t="str">
        <x:v>New</x:v>
      </x:c>
      <x:c r="H142" s="145" t="n">
        <x:v>2026</x:v>
      </x:c>
      <x:c r="I142" s="143" t="str">
        <x:v>Chevrolet</x:v>
      </x:c>
      <x:c r="J142" s="143" t="str">
        <x:v>Trailblazer</x:v>
      </x:c>
      <x:c r="K142" s="143" t="str">
        <x:v>RS</x:v>
      </x:c>
      <x:c r="L142" s="143" t="str">
        <x:v>2026 Chevrolet Trailblazer RS</x:v>
      </x:c>
      <x:c r="M142" s="146" t="n">
        <x:v>4</x:v>
      </x:c>
      <x:c r="N142" s="147" t="n">
        <x:v>32035</x:v>
      </x:c>
      <x:c r="O142" s="143" t="str">
        <x:v>Listed</x:v>
      </x:c>
      <x:c r="P142" s="143" t="str">
        <x:v>VEH-686BDAEF4359</x:v>
      </x:c>
      <x:c r="Q142" s="143" t="str">
        <x:v>ARPI686BDAEF43593</x:v>
      </x:c>
      <x:c r="R142" s="145" t="n">
        <x:v>1</x:v>
      </x:c>
      <x:c r="S142" s="143" t="str">
        <x:v>Sanitized public reference data</x:v>
      </x:c>
    </x:row>
    <x:row r="143" ht="19" customHeight="1">
      <x:c r="A143" s="143" t="str">
        <x:v>GSA001-20260802-0142</x:v>
      </x:c>
      <x:c r="B143" s="143" t="str">
        <x:v>GSA-001</x:v>
      </x:c>
      <x:c r="C143" s="143" t="str">
        <x:v>Granite Chevrolet of Nashua</x:v>
      </x:c>
      <x:c r="D143" s="144" t="n">
        <x:v>46236</x:v>
      </x:c>
      <x:c r="E143" s="143" t="str">
        <x:v>GSA001-20260802-001</x:v>
      </x:c>
      <x:c r="F143" s="143" t="str">
        <x:v>sanitized_public_inventory_reference</x:v>
      </x:c>
      <x:c r="G143" s="143" t="str">
        <x:v>New</x:v>
      </x:c>
      <x:c r="H143" s="145" t="n">
        <x:v>2026</x:v>
      </x:c>
      <x:c r="I143" s="143" t="str">
        <x:v>Chevrolet</x:v>
      </x:c>
      <x:c r="J143" s="143" t="str">
        <x:v>Trax</x:v>
      </x:c>
      <x:c r="K143" s="143" t="str">
        <x:v>LS</x:v>
      </x:c>
      <x:c r="L143" s="143" t="str">
        <x:v>2026 Chevrolet Trax LS</x:v>
      </x:c>
      <x:c r="M143" s="146" t="n">
        <x:v>4</x:v>
      </x:c>
      <x:c r="N143" s="147" t="n">
        <x:v>22716</x:v>
      </x:c>
      <x:c r="O143" s="143" t="str">
        <x:v>Listed</x:v>
      </x:c>
      <x:c r="P143" s="143" t="str">
        <x:v>VEH-7E20E6AE6118</x:v>
      </x:c>
      <x:c r="Q143" s="143" t="str">
        <x:v>ARPI7E20E6AE6118F</x:v>
      </x:c>
      <x:c r="R143" s="145" t="n">
        <x:v>1</x:v>
      </x:c>
      <x:c r="S143" s="143" t="str">
        <x:v>Sanitized public reference data</x:v>
      </x:c>
    </x:row>
    <x:row r="144" ht="19" customHeight="1">
      <x:c r="A144" s="143" t="str">
        <x:v>GSA001-20260802-0143</x:v>
      </x:c>
      <x:c r="B144" s="143" t="str">
        <x:v>GSA-001</x:v>
      </x:c>
      <x:c r="C144" s="143" t="str">
        <x:v>Granite Chevrolet of Nashua</x:v>
      </x:c>
      <x:c r="D144" s="144" t="n">
        <x:v>46236</x:v>
      </x:c>
      <x:c r="E144" s="143" t="str">
        <x:v>GSA001-20260802-001</x:v>
      </x:c>
      <x:c r="F144" s="143" t="str">
        <x:v>sanitized_public_inventory_reference</x:v>
      </x:c>
      <x:c r="G144" s="143" t="str">
        <x:v>New</x:v>
      </x:c>
      <x:c r="H144" s="145" t="n">
        <x:v>2026</x:v>
      </x:c>
      <x:c r="I144" s="143" t="str">
        <x:v>Chevrolet</x:v>
      </x:c>
      <x:c r="J144" s="143" t="str">
        <x:v>Silverado 1500</x:v>
      </x:c>
      <x:c r="K144" s="143" t="str">
        <x:v>LT (2FL)</x:v>
      </x:c>
      <x:c r="L144" s="143" t="str">
        <x:v>2026 Chevrolet Silverado 1500 LT (2FL)</x:v>
      </x:c>
      <x:c r="M144" s="146" t="n">
        <x:v>3</x:v>
      </x:c>
      <x:c r="N144" s="147" t="n">
        <x:v>49304</x:v>
      </x:c>
      <x:c r="O144" s="143" t="str">
        <x:v>Listed</x:v>
      </x:c>
      <x:c r="P144" s="143" t="str">
        <x:v>VEH-B2B415340CAC</x:v>
      </x:c>
      <x:c r="Q144" s="143" t="str">
        <x:v>ARPIB2B415340CAC6</x:v>
      </x:c>
      <x:c r="R144" s="145" t="n">
        <x:v>1</x:v>
      </x:c>
      <x:c r="S144" s="143" t="str">
        <x:v>Sanitized public reference data</x:v>
      </x:c>
    </x:row>
    <x:row r="145" ht="19" customHeight="1">
      <x:c r="A145" s="143" t="str">
        <x:v>GSA001-20260802-0144</x:v>
      </x:c>
      <x:c r="B145" s="143" t="str">
        <x:v>GSA-001</x:v>
      </x:c>
      <x:c r="C145" s="143" t="str">
        <x:v>Granite Chevrolet of Nashua</x:v>
      </x:c>
      <x:c r="D145" s="144" t="n">
        <x:v>46236</x:v>
      </x:c>
      <x:c r="E145" s="143" t="str">
        <x:v>GSA001-20260802-001</x:v>
      </x:c>
      <x:c r="F145" s="143" t="str">
        <x:v>sanitized_public_inventory_reference</x:v>
      </x:c>
      <x:c r="G145" s="143" t="str">
        <x:v>New</x:v>
      </x:c>
      <x:c r="H145" s="145" t="n">
        <x:v>2026</x:v>
      </x:c>
      <x:c r="I145" s="143" t="str">
        <x:v>Chevrolet</x:v>
      </x:c>
      <x:c r="J145" s="143" t="str">
        <x:v>Traverse</x:v>
      </x:c>
      <x:c r="K145" s="143" t="str">
        <x:v>LT</x:v>
      </x:c>
      <x:c r="L145" s="143" t="str">
        <x:v>2026 Chevrolet Traverse LT</x:v>
      </x:c>
      <x:c r="M145" s="146" t="n">
        <x:v>3</x:v>
      </x:c>
      <x:c r="N145" s="147" t="n">
        <x:v>41412</x:v>
      </x:c>
      <x:c r="O145" s="143" t="str">
        <x:v>Listed</x:v>
      </x:c>
      <x:c r="P145" s="143" t="str">
        <x:v>VEH-E86FB1F9FC68</x:v>
      </x:c>
      <x:c r="Q145" s="143" t="str">
        <x:v>ARPIE86FB1F9FC681</x:v>
      </x:c>
      <x:c r="R145" s="145" t="n">
        <x:v>1</x:v>
      </x:c>
      <x:c r="S145" s="143" t="str">
        <x:v>Sanitized public reference data</x:v>
      </x:c>
    </x:row>
    <x:row r="146" ht="19" customHeight="1">
      <x:c r="A146" s="143" t="str">
        <x:v>GSA001-20260802-0145</x:v>
      </x:c>
      <x:c r="B146" s="143" t="str">
        <x:v>GSA-001</x:v>
      </x:c>
      <x:c r="C146" s="143" t="str">
        <x:v>Granite Chevrolet of Nashua</x:v>
      </x:c>
      <x:c r="D146" s="144" t="n">
        <x:v>46236</x:v>
      </x:c>
      <x:c r="E146" s="143" t="str">
        <x:v>GSA001-20260802-001</x:v>
      </x:c>
      <x:c r="F146" s="143" t="str">
        <x:v>sanitized_public_inventory_reference</x:v>
      </x:c>
      <x:c r="G146" s="143" t="str">
        <x:v>New</x:v>
      </x:c>
      <x:c r="H146" s="145" t="n">
        <x:v>2026</x:v>
      </x:c>
      <x:c r="I146" s="143" t="str">
        <x:v>Chevrolet</x:v>
      </x:c>
      <x:c r="J146" s="143" t="str">
        <x:v>Silverado 1500</x:v>
      </x:c>
      <x:c r="K146" s="143" t="str">
        <x:v>LT</x:v>
      </x:c>
      <x:c r="L146" s="143" t="str">
        <x:v>2026 Chevrolet Silverado 1500 LT</x:v>
      </x:c>
      <x:c r="M146" s="146" t="n">
        <x:v>3</x:v>
      </x:c>
      <x:c r="N146" s="147" t="n">
        <x:v>55634</x:v>
      </x:c>
      <x:c r="O146" s="143" t="str">
        <x:v>Listed</x:v>
      </x:c>
      <x:c r="P146" s="143" t="str">
        <x:v>VEH-53B187E5D71B</x:v>
      </x:c>
      <x:c r="Q146" s="143" t="str">
        <x:v>ARPI53B187E5D71B9</x:v>
      </x:c>
      <x:c r="R146" s="145" t="n">
        <x:v>1</x:v>
      </x:c>
      <x:c r="S146" s="143" t="str">
        <x:v>Sanitized public reference data</x:v>
      </x:c>
    </x:row>
    <x:row r="147" ht="19" customHeight="1">
      <x:c r="A147" s="143" t="str">
        <x:v>GSA001-20260802-0146</x:v>
      </x:c>
      <x:c r="B147" s="143" t="str">
        <x:v>GSA-001</x:v>
      </x:c>
      <x:c r="C147" s="143" t="str">
        <x:v>Granite Chevrolet of Nashua</x:v>
      </x:c>
      <x:c r="D147" s="144" t="n">
        <x:v>46236</x:v>
      </x:c>
      <x:c r="E147" s="143" t="str">
        <x:v>GSA001-20260802-001</x:v>
      </x:c>
      <x:c r="F147" s="143" t="str">
        <x:v>sanitized_public_inventory_reference</x:v>
      </x:c>
      <x:c r="G147" s="143" t="str">
        <x:v>New</x:v>
      </x:c>
      <x:c r="H147" s="145" t="n">
        <x:v>2026</x:v>
      </x:c>
      <x:c r="I147" s="143" t="str">
        <x:v>Chevrolet</x:v>
      </x:c>
      <x:c r="J147" s="143" t="str">
        <x:v>Traverse</x:v>
      </x:c>
      <x:c r="K147" s="143" t="str">
        <x:v>Z71</x:v>
      </x:c>
      <x:c r="L147" s="143" t="str">
        <x:v>2026 Chevrolet Traverse Z71</x:v>
      </x:c>
      <x:c r="M147" s="146" t="n">
        <x:v>4</x:v>
      </x:c>
      <x:c r="N147" s="147" t="n">
        <x:v>49217</x:v>
      </x:c>
      <x:c r="O147" s="143" t="str">
        <x:v>Listed</x:v>
      </x:c>
      <x:c r="P147" s="143" t="str">
        <x:v>VEH-098960B40D1C</x:v>
      </x:c>
      <x:c r="Q147" s="143" t="str">
        <x:v>ARPI098960B40D1CB</x:v>
      </x:c>
      <x:c r="R147" s="145" t="n">
        <x:v>1</x:v>
      </x:c>
      <x:c r="S147" s="143" t="str">
        <x:v>Sanitized public reference data</x:v>
      </x:c>
    </x:row>
    <x:row r="148" ht="19" customHeight="1">
      <x:c r="A148" s="143" t="str">
        <x:v>GSA001-20260802-0147</x:v>
      </x:c>
      <x:c r="B148" s="143" t="str">
        <x:v>GSA-001</x:v>
      </x:c>
      <x:c r="C148" s="143" t="str">
        <x:v>Granite Chevrolet of Nashua</x:v>
      </x:c>
      <x:c r="D148" s="144" t="n">
        <x:v>46236</x:v>
      </x:c>
      <x:c r="E148" s="143" t="str">
        <x:v>GSA001-20260802-001</x:v>
      </x:c>
      <x:c r="F148" s="143" t="str">
        <x:v>sanitized_public_inventory_reference</x:v>
      </x:c>
      <x:c r="G148" s="143" t="str">
        <x:v>New</x:v>
      </x:c>
      <x:c r="H148" s="145" t="n">
        <x:v>2026</x:v>
      </x:c>
      <x:c r="I148" s="143" t="str">
        <x:v>Chevrolet</x:v>
      </x:c>
      <x:c r="J148" s="143" t="str">
        <x:v>Silverado 1500</x:v>
      </x:c>
      <x:c r="K148" s="143" t="str">
        <x:v>WT</x:v>
      </x:c>
      <x:c r="L148" s="143" t="str">
        <x:v>2026 Chevrolet Silverado 1500 WT</x:v>
      </x:c>
      <x:c r="M148" s="146" t="n">
        <x:v>4</x:v>
      </x:c>
      <x:c r="N148" s="147" t="n">
        <x:v>39546</x:v>
      </x:c>
      <x:c r="O148" s="143" t="str">
        <x:v>Listed</x:v>
      </x:c>
      <x:c r="P148" s="143" t="str">
        <x:v>VEH-47B6276E7CBC</x:v>
      </x:c>
      <x:c r="Q148" s="143" t="str">
        <x:v>ARPI47B6276E7CBC4</x:v>
      </x:c>
      <x:c r="R148" s="145" t="n">
        <x:v>1</x:v>
      </x:c>
      <x:c r="S148" s="143" t="str">
        <x:v>Sanitized public reference data</x:v>
      </x:c>
    </x:row>
    <x:row r="149" ht="19" customHeight="1">
      <x:c r="A149" s="143" t="str">
        <x:v>GSA001-20260802-0148</x:v>
      </x:c>
      <x:c r="B149" s="143" t="str">
        <x:v>GSA-001</x:v>
      </x:c>
      <x:c r="C149" s="143" t="str">
        <x:v>Granite Chevrolet of Nashua</x:v>
      </x:c>
      <x:c r="D149" s="144" t="n">
        <x:v>46236</x:v>
      </x:c>
      <x:c r="E149" s="143" t="str">
        <x:v>GSA001-20260802-001</x:v>
      </x:c>
      <x:c r="F149" s="143" t="str">
        <x:v>sanitized_public_inventory_reference</x:v>
      </x:c>
      <x:c r="G149" s="143" t="str">
        <x:v>New</x:v>
      </x:c>
      <x:c r="H149" s="145" t="n">
        <x:v>2026</x:v>
      </x:c>
      <x:c r="I149" s="143" t="str">
        <x:v>Chevrolet</x:v>
      </x:c>
      <x:c r="J149" s="143" t="str">
        <x:v>Silverado 1500</x:v>
      </x:c>
      <x:c r="K149" s="143" t="str">
        <x:v>WT</x:v>
      </x:c>
      <x:c r="L149" s="143" t="str">
        <x:v>2026 Chevrolet Silverado 1500 WT</x:v>
      </x:c>
      <x:c r="M149" s="146" t="n">
        <x:v>4</x:v>
      </x:c>
      <x:c r="N149" s="147" t="n">
        <x:v>39546</x:v>
      </x:c>
      <x:c r="O149" s="143" t="str">
        <x:v>Listed</x:v>
      </x:c>
      <x:c r="P149" s="143" t="str">
        <x:v>VEH-4BBE2D71D704</x:v>
      </x:c>
      <x:c r="Q149" s="143" t="str">
        <x:v>ARPI4BBE2D71D7049</x:v>
      </x:c>
      <x:c r="R149" s="145" t="n">
        <x:v>1</x:v>
      </x:c>
      <x:c r="S149" s="143" t="str">
        <x:v>Sanitized public reference data</x:v>
      </x:c>
    </x:row>
    <x:row r="150" ht="19" customHeight="1">
      <x:c r="A150" s="143" t="str">
        <x:v>GSA001-20260802-0149</x:v>
      </x:c>
      <x:c r="B150" s="143" t="str">
        <x:v>GSA-001</x:v>
      </x:c>
      <x:c r="C150" s="143" t="str">
        <x:v>Granite Chevrolet of Nashua</x:v>
      </x:c>
      <x:c r="D150" s="144" t="n">
        <x:v>46236</x:v>
      </x:c>
      <x:c r="E150" s="143" t="str">
        <x:v>GSA001-20260802-001</x:v>
      </x:c>
      <x:c r="F150" s="143" t="str">
        <x:v>sanitized_public_inventory_reference</x:v>
      </x:c>
      <x:c r="G150" s="143" t="str">
        <x:v>New</x:v>
      </x:c>
      <x:c r="H150" s="145" t="n">
        <x:v>2026</x:v>
      </x:c>
      <x:c r="I150" s="143" t="str">
        <x:v>Chevrolet</x:v>
      </x:c>
      <x:c r="J150" s="143" t="str">
        <x:v>Silverado 1500</x:v>
      </x:c>
      <x:c r="K150" s="143" t="str">
        <x:v>High Country</x:v>
      </x:c>
      <x:c r="L150" s="143" t="str">
        <x:v>2026 Chevrolet Silverado 1500 High Country</x:v>
      </x:c>
      <x:c r="M150" s="146" t="n">
        <x:v>3</x:v>
      </x:c>
      <x:c r="N150" s="147" t="n">
        <x:v>67569</x:v>
      </x:c>
      <x:c r="O150" s="143" t="str">
        <x:v>Listed</x:v>
      </x:c>
      <x:c r="P150" s="143" t="str">
        <x:v>VEH-FDF64939A918</x:v>
      </x:c>
      <x:c r="Q150" s="143" t="str">
        <x:v>ARPIFDF64939A9180</x:v>
      </x:c>
      <x:c r="R150" s="145" t="n">
        <x:v>1</x:v>
      </x:c>
      <x:c r="S150" s="143" t="str">
        <x:v>Sanitized public reference data</x:v>
      </x:c>
    </x:row>
    <x:row r="151" ht="19" customHeight="1">
      <x:c r="A151" s="143" t="str">
        <x:v>GSA001-20260802-0150</x:v>
      </x:c>
      <x:c r="B151" s="143" t="str">
        <x:v>GSA-001</x:v>
      </x:c>
      <x:c r="C151" s="143" t="str">
        <x:v>Granite Chevrolet of Nashua</x:v>
      </x:c>
      <x:c r="D151" s="144" t="n">
        <x:v>46236</x:v>
      </x:c>
      <x:c r="E151" s="143" t="str">
        <x:v>GSA001-20260802-001</x:v>
      </x:c>
      <x:c r="F151" s="143" t="str">
        <x:v>sanitized_public_inventory_reference</x:v>
      </x:c>
      <x:c r="G151" s="143" t="str">
        <x:v>New</x:v>
      </x:c>
      <x:c r="H151" s="145" t="n">
        <x:v>2026</x:v>
      </x:c>
      <x:c r="I151" s="143" t="str">
        <x:v>Chevrolet</x:v>
      </x:c>
      <x:c r="J151" s="143" t="str">
        <x:v>Express Cutaway 3500</x:v>
      </x:c>
      <x:c r="K151" s="143" t="str">
        <x:v>1WT</x:v>
      </x:c>
      <x:c r="L151" s="143" t="str">
        <x:v>2026 Chevrolet Express Cutaway 3500 1WT</x:v>
      </x:c>
      <x:c r="M151" s="146" t="n">
        <x:v>3</x:v>
      </x:c>
      <x:c r="N151" s="147" t="n">
        <x:v>44939</x:v>
      </x:c>
      <x:c r="O151" s="143" t="str">
        <x:v>Listed</x:v>
      </x:c>
      <x:c r="P151" s="143" t="str">
        <x:v>VEH-782F6A1D1DE1</x:v>
      </x:c>
      <x:c r="Q151" s="143" t="str">
        <x:v>ARPI782F6A1D1DE1C</x:v>
      </x:c>
      <x:c r="R151" s="145" t="n">
        <x:v>1</x:v>
      </x:c>
      <x:c r="S151" s="143" t="str">
        <x:v>Sanitized public reference data</x:v>
      </x:c>
    </x:row>
    <x:row r="152" ht="19" customHeight="1">
      <x:c r="A152" s="143" t="str">
        <x:v>GSA001-20260802-0151</x:v>
      </x:c>
      <x:c r="B152" s="143" t="str">
        <x:v>GSA-001</x:v>
      </x:c>
      <x:c r="C152" s="143" t="str">
        <x:v>Granite Chevrolet of Nashua</x:v>
      </x:c>
      <x:c r="D152" s="144" t="n">
        <x:v>46236</x:v>
      </x:c>
      <x:c r="E152" s="143" t="str">
        <x:v>GSA001-20260802-001</x:v>
      </x:c>
      <x:c r="F152" s="143" t="str">
        <x:v>sanitized_public_inventory_reference</x:v>
      </x:c>
      <x:c r="G152" s="143" t="str">
        <x:v>New</x:v>
      </x:c>
      <x:c r="H152" s="145" t="n">
        <x:v>2026</x:v>
      </x:c>
      <x:c r="I152" s="143" t="str">
        <x:v>Chevrolet</x:v>
      </x:c>
      <x:c r="J152" s="143" t="str">
        <x:v>Silverado 1500</x:v>
      </x:c>
      <x:c r="K152" s="143" t="str">
        <x:v>LT (2FL)</x:v>
      </x:c>
      <x:c r="L152" s="143" t="str">
        <x:v>2026 Chevrolet Silverado 1500 LT (2FL)</x:v>
      </x:c>
      <x:c r="M152" s="146" t="n">
        <x:v>4</x:v>
      </x:c>
      <x:c r="N152" s="147" t="n">
        <x:v>48248</x:v>
      </x:c>
      <x:c r="O152" s="143" t="str">
        <x:v>Listed</x:v>
      </x:c>
      <x:c r="P152" s="143" t="str">
        <x:v>VEH-C633E8F0EC9A</x:v>
      </x:c>
      <x:c r="Q152" s="143" t="str">
        <x:v>ARPIC633E8F0EC9AD</x:v>
      </x:c>
      <x:c r="R152" s="145" t="n">
        <x:v>1</x:v>
      </x:c>
      <x:c r="S152" s="143" t="str">
        <x:v>Sanitized public reference data</x:v>
      </x:c>
    </x:row>
    <x:row r="153" ht="19" customHeight="1">
      <x:c r="A153" s="143" t="str">
        <x:v>GSA001-20260802-0152</x:v>
      </x:c>
      <x:c r="B153" s="143" t="str">
        <x:v>GSA-001</x:v>
      </x:c>
      <x:c r="C153" s="143" t="str">
        <x:v>Granite Chevrolet of Nashua</x:v>
      </x:c>
      <x:c r="D153" s="144" t="n">
        <x:v>46236</x:v>
      </x:c>
      <x:c r="E153" s="143" t="str">
        <x:v>GSA001-20260802-001</x:v>
      </x:c>
      <x:c r="F153" s="143" t="str">
        <x:v>sanitized_public_inventory_reference</x:v>
      </x:c>
      <x:c r="G153" s="143" t="str">
        <x:v>New</x:v>
      </x:c>
      <x:c r="H153" s="145" t="n">
        <x:v>2026</x:v>
      </x:c>
      <x:c r="I153" s="143" t="str">
        <x:v>Chevrolet</x:v>
      </x:c>
      <x:c r="J153" s="143" t="str">
        <x:v>Traverse</x:v>
      </x:c>
      <x:c r="K153" s="143" t="str">
        <x:v>Z71</x:v>
      </x:c>
      <x:c r="L153" s="143" t="str">
        <x:v>2026 Chevrolet Traverse Z71</x:v>
      </x:c>
      <x:c r="M153" s="146" t="n">
        <x:v>3</x:v>
      </x:c>
      <x:c r="N153" s="147" t="n">
        <x:v>48101</x:v>
      </x:c>
      <x:c r="O153" s="143" t="str">
        <x:v>Listed</x:v>
      </x:c>
      <x:c r="P153" s="143" t="str">
        <x:v>VEH-CAF7A780D5F7</x:v>
      </x:c>
      <x:c r="Q153" s="143" t="str">
        <x:v>ARPICAF7A780D5F79</x:v>
      </x:c>
      <x:c r="R153" s="145" t="n">
        <x:v>1</x:v>
      </x:c>
      <x:c r="S153" s="143" t="str">
        <x:v>Sanitized public reference data</x:v>
      </x:c>
    </x:row>
    <x:row r="154" ht="19" customHeight="1">
      <x:c r="A154" s="143" t="str">
        <x:v>GSA001-20260802-0153</x:v>
      </x:c>
      <x:c r="B154" s="143" t="str">
        <x:v>GSA-001</x:v>
      </x:c>
      <x:c r="C154" s="143" t="str">
        <x:v>Granite Chevrolet of Nashua</x:v>
      </x:c>
      <x:c r="D154" s="144" t="n">
        <x:v>46236</x:v>
      </x:c>
      <x:c r="E154" s="143" t="str">
        <x:v>GSA001-20260802-001</x:v>
      </x:c>
      <x:c r="F154" s="143" t="str">
        <x:v>sanitized_public_inventory_reference</x:v>
      </x:c>
      <x:c r="G154" s="143" t="str">
        <x:v>New</x:v>
      </x:c>
      <x:c r="H154" s="145" t="n">
        <x:v>2026</x:v>
      </x:c>
      <x:c r="I154" s="143" t="str">
        <x:v>Chevrolet</x:v>
      </x:c>
      <x:c r="J154" s="143" t="str">
        <x:v>Traverse</x:v>
      </x:c>
      <x:c r="K154" s="143" t="str">
        <x:v>LT</x:v>
      </x:c>
      <x:c r="L154" s="143" t="str">
        <x:v>2026 Chevrolet Traverse LT</x:v>
      </x:c>
      <x:c r="M154" s="146" t="n">
        <x:v>3</x:v>
      </x:c>
      <x:c r="N154" s="147" t="n">
        <x:v>41412</x:v>
      </x:c>
      <x:c r="O154" s="143" t="str">
        <x:v>Listed</x:v>
      </x:c>
      <x:c r="P154" s="143" t="str">
        <x:v>VEH-196E00B5306C</x:v>
      </x:c>
      <x:c r="Q154" s="143" t="str">
        <x:v>ARPI196E00B5306C7</x:v>
      </x:c>
      <x:c r="R154" s="145" t="n">
        <x:v>1</x:v>
      </x:c>
      <x:c r="S154" s="143" t="str">
        <x:v>Sanitized public reference data</x:v>
      </x:c>
    </x:row>
    <x:row r="155" ht="19" customHeight="1">
      <x:c r="A155" s="143" t="str">
        <x:v>GSA001-20260802-0154</x:v>
      </x:c>
      <x:c r="B155" s="143" t="str">
        <x:v>GSA-001</x:v>
      </x:c>
      <x:c r="C155" s="143" t="str">
        <x:v>Granite Chevrolet of Nashua</x:v>
      </x:c>
      <x:c r="D155" s="144" t="n">
        <x:v>46236</x:v>
      </x:c>
      <x:c r="E155" s="143" t="str">
        <x:v>GSA001-20260802-001</x:v>
      </x:c>
      <x:c r="F155" s="143" t="str">
        <x:v>sanitized_public_inventory_reference</x:v>
      </x:c>
      <x:c r="G155" s="143" t="str">
        <x:v>New</x:v>
      </x:c>
      <x:c r="H155" s="145" t="n">
        <x:v>2026</x:v>
      </x:c>
      <x:c r="I155" s="143" t="str">
        <x:v>Chevrolet</x:v>
      </x:c>
      <x:c r="J155" s="143" t="str">
        <x:v>Silverado 1500</x:v>
      </x:c>
      <x:c r="K155" s="143" t="str">
        <x:v>LT (2FL)</x:v>
      </x:c>
      <x:c r="L155" s="143" t="str">
        <x:v>2026 Chevrolet Silverado 1500 LT (2FL)</x:v>
      </x:c>
      <x:c r="M155" s="146" t="n">
        <x:v>4</x:v>
      </x:c>
      <x:c r="N155" s="147" t="n">
        <x:v>49304</x:v>
      </x:c>
      <x:c r="O155" s="143" t="str">
        <x:v>Listed</x:v>
      </x:c>
      <x:c r="P155" s="143" t="str">
        <x:v>VEH-964FFA806FEF</x:v>
      </x:c>
      <x:c r="Q155" s="143" t="str">
        <x:v>ARPI964FFA806FEF3</x:v>
      </x:c>
      <x:c r="R155" s="145" t="n">
        <x:v>1</x:v>
      </x:c>
      <x:c r="S155" s="143" t="str">
        <x:v>Sanitized public reference data</x:v>
      </x:c>
    </x:row>
    <x:row r="156" ht="19" customHeight="1">
      <x:c r="A156" s="143" t="str">
        <x:v>GSA001-20260802-0155</x:v>
      </x:c>
      <x:c r="B156" s="143" t="str">
        <x:v>GSA-001</x:v>
      </x:c>
      <x:c r="C156" s="143" t="str">
        <x:v>Granite Chevrolet of Nashua</x:v>
      </x:c>
      <x:c r="D156" s="144" t="n">
        <x:v>46236</x:v>
      </x:c>
      <x:c r="E156" s="143" t="str">
        <x:v>GSA001-20260802-001</x:v>
      </x:c>
      <x:c r="F156" s="143" t="str">
        <x:v>sanitized_public_inventory_reference</x:v>
      </x:c>
      <x:c r="G156" s="143" t="str">
        <x:v>New</x:v>
      </x:c>
      <x:c r="H156" s="145" t="n">
        <x:v>2026</x:v>
      </x:c>
      <x:c r="I156" s="143" t="str">
        <x:v>Chevrolet</x:v>
      </x:c>
      <x:c r="J156" s="143" t="str">
        <x:v>Silverado 1500</x:v>
      </x:c>
      <x:c r="K156" s="143" t="str">
        <x:v>LT (2FL)</x:v>
      </x:c>
      <x:c r="L156" s="143" t="str">
        <x:v>2026 Chevrolet Silverado 1500 LT (2FL)</x:v>
      </x:c>
      <x:c r="M156" s="146" t="n">
        <x:v>4</x:v>
      </x:c>
      <x:c r="N156" s="147" t="n">
        <x:v>49304</x:v>
      </x:c>
      <x:c r="O156" s="143" t="str">
        <x:v>Listed</x:v>
      </x:c>
      <x:c r="P156" s="143" t="str">
        <x:v>VEH-57789AF61E7F</x:v>
      </x:c>
      <x:c r="Q156" s="143" t="str">
        <x:v>ARPI57789AF61E7F2</x:v>
      </x:c>
      <x:c r="R156" s="145" t="n">
        <x:v>1</x:v>
      </x:c>
      <x:c r="S156" s="143" t="str">
        <x:v>Sanitized public reference data</x:v>
      </x:c>
    </x:row>
    <x:row r="157" ht="19" customHeight="1">
      <x:c r="A157" s="143" t="str">
        <x:v>GSA001-20260802-0156</x:v>
      </x:c>
      <x:c r="B157" s="143" t="str">
        <x:v>GSA-001</x:v>
      </x:c>
      <x:c r="C157" s="143" t="str">
        <x:v>Granite Chevrolet of Nashua</x:v>
      </x:c>
      <x:c r="D157" s="144" t="n">
        <x:v>46236</x:v>
      </x:c>
      <x:c r="E157" s="143" t="str">
        <x:v>GSA001-20260802-001</x:v>
      </x:c>
      <x:c r="F157" s="143" t="str">
        <x:v>sanitized_public_inventory_reference</x:v>
      </x:c>
      <x:c r="G157" s="143" t="str">
        <x:v>New</x:v>
      </x:c>
      <x:c r="H157" s="145" t="n">
        <x:v>2026</x:v>
      </x:c>
      <x:c r="I157" s="143" t="str">
        <x:v>Chevrolet</x:v>
      </x:c>
      <x:c r="J157" s="143" t="str">
        <x:v>Trax</x:v>
      </x:c>
      <x:c r="K157" s="143" t="str">
        <x:v>LT</x:v>
      </x:c>
      <x:c r="L157" s="143" t="str">
        <x:v>2026 Chevrolet Trax LT</x:v>
      </x:c>
      <x:c r="M157" s="146" t="n">
        <x:v>4</x:v>
      </x:c>
      <x:c r="N157" s="147" t="n">
        <x:v>25511</x:v>
      </x:c>
      <x:c r="O157" s="143" t="str">
        <x:v>Listed</x:v>
      </x:c>
      <x:c r="P157" s="143" t="str">
        <x:v>VEH-8B1BBA64CEC8</x:v>
      </x:c>
      <x:c r="Q157" s="143" t="str">
        <x:v>ARPI8B1BBA64CEC8B</x:v>
      </x:c>
      <x:c r="R157" s="145" t="n">
        <x:v>1</x:v>
      </x:c>
      <x:c r="S157" s="143" t="str">
        <x:v>Sanitized public reference data</x:v>
      </x:c>
    </x:row>
    <x:row r="158" ht="19" customHeight="1">
      <x:c r="A158" s="143" t="str">
        <x:v>GSA001-20260802-0157</x:v>
      </x:c>
      <x:c r="B158" s="143" t="str">
        <x:v>GSA-001</x:v>
      </x:c>
      <x:c r="C158" s="143" t="str">
        <x:v>Granite Chevrolet of Nashua</x:v>
      </x:c>
      <x:c r="D158" s="144" t="n">
        <x:v>46236</x:v>
      </x:c>
      <x:c r="E158" s="143" t="str">
        <x:v>GSA001-20260802-001</x:v>
      </x:c>
      <x:c r="F158" s="143" t="str">
        <x:v>sanitized_public_inventory_reference</x:v>
      </x:c>
      <x:c r="G158" s="143" t="str">
        <x:v>New</x:v>
      </x:c>
      <x:c r="H158" s="145" t="n">
        <x:v>2026</x:v>
      </x:c>
      <x:c r="I158" s="143" t="str">
        <x:v>Chevrolet</x:v>
      </x:c>
      <x:c r="J158" s="143" t="str">
        <x:v>Colorado</x:v>
      </x:c>
      <x:c r="K158" s="143" t="str">
        <x:v>LT</x:v>
      </x:c>
      <x:c r="L158" s="143" t="str">
        <x:v>2026 Chevrolet Colorado LT</x:v>
      </x:c>
      <x:c r="M158" s="146" t="n">
        <x:v>4</x:v>
      </x:c>
      <x:c r="N158" s="147" t="n">
        <x:v>43790</x:v>
      </x:c>
      <x:c r="O158" s="143" t="str">
        <x:v>Listed</x:v>
      </x:c>
      <x:c r="P158" s="143" t="str">
        <x:v>VEH-F471ABEBE200</x:v>
      </x:c>
      <x:c r="Q158" s="143" t="str">
        <x:v>ARPIF471ABEBE2009</x:v>
      </x:c>
      <x:c r="R158" s="145" t="n">
        <x:v>1</x:v>
      </x:c>
      <x:c r="S158" s="143" t="str">
        <x:v>Sanitized public reference data</x:v>
      </x:c>
    </x:row>
    <x:row r="159" ht="19" customHeight="1">
      <x:c r="A159" s="143" t="str">
        <x:v>GSA001-20260802-0158</x:v>
      </x:c>
      <x:c r="B159" s="143" t="str">
        <x:v>GSA-001</x:v>
      </x:c>
      <x:c r="C159" s="143" t="str">
        <x:v>Granite Chevrolet of Nashua</x:v>
      </x:c>
      <x:c r="D159" s="144" t="n">
        <x:v>46236</x:v>
      </x:c>
      <x:c r="E159" s="143" t="str">
        <x:v>GSA001-20260802-001</x:v>
      </x:c>
      <x:c r="F159" s="143" t="str">
        <x:v>sanitized_public_inventory_reference</x:v>
      </x:c>
      <x:c r="G159" s="143" t="str">
        <x:v>New</x:v>
      </x:c>
      <x:c r="H159" s="145" t="n">
        <x:v>2026</x:v>
      </x:c>
      <x:c r="I159" s="143" t="str">
        <x:v>Chevrolet</x:v>
      </x:c>
      <x:c r="J159" s="143" t="str">
        <x:v>Silverado 1500</x:v>
      </x:c>
      <x:c r="K159" s="143" t="str">
        <x:v>LT (2FL)</x:v>
      </x:c>
      <x:c r="L159" s="143" t="str">
        <x:v>2026 Chevrolet Silverado 1500 LT (2FL)</x:v>
      </x:c>
      <x:c r="M159" s="146" t="n">
        <x:v>4</x:v>
      </x:c>
      <x:c r="N159" s="147" t="n">
        <x:v>49304</x:v>
      </x:c>
      <x:c r="O159" s="143" t="str">
        <x:v>Listed</x:v>
      </x:c>
      <x:c r="P159" s="143" t="str">
        <x:v>VEH-5CF0D5FEF499</x:v>
      </x:c>
      <x:c r="Q159" s="143" t="str">
        <x:v>ARPI5CF0D5FEF4999</x:v>
      </x:c>
      <x:c r="R159" s="145" t="n">
        <x:v>1</x:v>
      </x:c>
      <x:c r="S159" s="143" t="str">
        <x:v>Sanitized public reference data</x:v>
      </x:c>
    </x:row>
    <x:row r="160" ht="19" customHeight="1">
      <x:c r="A160" s="143" t="str">
        <x:v>GSA001-20260802-0159</x:v>
      </x:c>
      <x:c r="B160" s="143" t="str">
        <x:v>GSA-001</x:v>
      </x:c>
      <x:c r="C160" s="143" t="str">
        <x:v>Granite Chevrolet of Nashua</x:v>
      </x:c>
      <x:c r="D160" s="144" t="n">
        <x:v>46236</x:v>
      </x:c>
      <x:c r="E160" s="143" t="str">
        <x:v>GSA001-20260802-001</x:v>
      </x:c>
      <x:c r="F160" s="143" t="str">
        <x:v>sanitized_public_inventory_reference</x:v>
      </x:c>
      <x:c r="G160" s="143" t="str">
        <x:v>New</x:v>
      </x:c>
      <x:c r="H160" s="145" t="n">
        <x:v>2026</x:v>
      </x:c>
      <x:c r="I160" s="143" t="str">
        <x:v>Chevrolet</x:v>
      </x:c>
      <x:c r="J160" s="143" t="str">
        <x:v>Tahoe</x:v>
      </x:c>
      <x:c r="K160" s="143" t="str">
        <x:v>LS</x:v>
      </x:c>
      <x:c r="L160" s="143" t="str">
        <x:v>2026 Chevrolet Tahoe LS</x:v>
      </x:c>
      <x:c r="M160" s="146" t="n">
        <x:v>4</x:v>
      </x:c>
      <x:c r="N160" s="147" t="n">
        <x:v>61586</x:v>
      </x:c>
      <x:c r="O160" s="143" t="str">
        <x:v>Listed</x:v>
      </x:c>
      <x:c r="P160" s="143" t="str">
        <x:v>VEH-AAF65F2062A3</x:v>
      </x:c>
      <x:c r="Q160" s="143" t="str">
        <x:v>ARPIAAF65F2062A3E</x:v>
      </x:c>
      <x:c r="R160" s="145" t="n">
        <x:v>1</x:v>
      </x:c>
      <x:c r="S160" s="143" t="str">
        <x:v>Sanitized public reference data</x:v>
      </x:c>
    </x:row>
    <x:row r="161" ht="19" customHeight="1">
      <x:c r="A161" s="143" t="str">
        <x:v>GSA001-20260802-0160</x:v>
      </x:c>
      <x:c r="B161" s="143" t="str">
        <x:v>GSA-001</x:v>
      </x:c>
      <x:c r="C161" s="143" t="str">
        <x:v>Granite Chevrolet of Nashua</x:v>
      </x:c>
      <x:c r="D161" s="144" t="n">
        <x:v>46236</x:v>
      </x:c>
      <x:c r="E161" s="143" t="str">
        <x:v>GSA001-20260802-001</x:v>
      </x:c>
      <x:c r="F161" s="143" t="str">
        <x:v>sanitized_public_inventory_reference</x:v>
      </x:c>
      <x:c r="G161" s="143" t="str">
        <x:v>New</x:v>
      </x:c>
      <x:c r="H161" s="145" t="n">
        <x:v>2026</x:v>
      </x:c>
      <x:c r="I161" s="143" t="str">
        <x:v>Chevrolet</x:v>
      </x:c>
      <x:c r="J161" s="143" t="str">
        <x:v>Equinox</x:v>
      </x:c>
      <x:c r="K161" s="143" t="str">
        <x:v>LT</x:v>
      </x:c>
      <x:c r="L161" s="143" t="str">
        <x:v>2026 Chevrolet Equinox LT</x:v>
      </x:c>
      <x:c r="M161" s="146" t="n">
        <x:v>4</x:v>
      </x:c>
      <x:c r="N161" s="147" t="n">
        <x:v>34498</x:v>
      </x:c>
      <x:c r="O161" s="143" t="str">
        <x:v>Listed</x:v>
      </x:c>
      <x:c r="P161" s="143" t="str">
        <x:v>VEH-5EAF54167ED3</x:v>
      </x:c>
      <x:c r="Q161" s="143" t="str">
        <x:v>ARPI5EAF54167ED33</x:v>
      </x:c>
      <x:c r="R161" s="145" t="n">
        <x:v>1</x:v>
      </x:c>
      <x:c r="S161" s="143" t="str">
        <x:v>Sanitized public reference data</x:v>
      </x:c>
    </x:row>
    <x:row r="162" ht="19" customHeight="1">
      <x:c r="A162" s="143" t="str">
        <x:v>GSA001-20260802-0161</x:v>
      </x:c>
      <x:c r="B162" s="143" t="str">
        <x:v>GSA-001</x:v>
      </x:c>
      <x:c r="C162" s="143" t="str">
        <x:v>Granite Chevrolet of Nashua</x:v>
      </x:c>
      <x:c r="D162" s="144" t="n">
        <x:v>46236</x:v>
      </x:c>
      <x:c r="E162" s="143" t="str">
        <x:v>GSA001-20260802-001</x:v>
      </x:c>
      <x:c r="F162" s="143" t="str">
        <x:v>sanitized_public_inventory_reference</x:v>
      </x:c>
      <x:c r="G162" s="143" t="str">
        <x:v>New</x:v>
      </x:c>
      <x:c r="H162" s="145" t="n">
        <x:v>2026</x:v>
      </x:c>
      <x:c r="I162" s="143" t="str">
        <x:v>Chevrolet</x:v>
      </x:c>
      <x:c r="J162" s="143" t="str">
        <x:v>Colorado</x:v>
      </x:c>
      <x:c r="K162" s="143" t="str">
        <x:v>WT</x:v>
      </x:c>
      <x:c r="L162" s="143" t="str">
        <x:v>2026 Chevrolet Colorado WT</x:v>
      </x:c>
      <x:c r="M162" s="146" t="n">
        <x:v>4</x:v>
      </x:c>
      <x:c r="N162" s="147" t="n">
        <x:v>38224</x:v>
      </x:c>
      <x:c r="O162" s="143" t="str">
        <x:v>Listed</x:v>
      </x:c>
      <x:c r="P162" s="143" t="str">
        <x:v>VEH-CAABB145FC48</x:v>
      </x:c>
      <x:c r="Q162" s="143" t="str">
        <x:v>ARPICAABB145FC48B</x:v>
      </x:c>
      <x:c r="R162" s="145" t="n">
        <x:v>1</x:v>
      </x:c>
      <x:c r="S162" s="143" t="str">
        <x:v>Sanitized public reference data</x:v>
      </x:c>
    </x:row>
    <x:row r="163" ht="19" customHeight="1">
      <x:c r="A163" s="143" t="str">
        <x:v>GSA001-20260802-0162</x:v>
      </x:c>
      <x:c r="B163" s="143" t="str">
        <x:v>GSA-001</x:v>
      </x:c>
      <x:c r="C163" s="143" t="str">
        <x:v>Granite Chevrolet of Nashua</x:v>
      </x:c>
      <x:c r="D163" s="144" t="n">
        <x:v>46236</x:v>
      </x:c>
      <x:c r="E163" s="143" t="str">
        <x:v>GSA001-20260802-001</x:v>
      </x:c>
      <x:c r="F163" s="143" t="str">
        <x:v>sanitized_public_inventory_reference</x:v>
      </x:c>
      <x:c r="G163" s="143" t="str">
        <x:v>New</x:v>
      </x:c>
      <x:c r="H163" s="145" t="n">
        <x:v>2026</x:v>
      </x:c>
      <x:c r="I163" s="143" t="str">
        <x:v>Chevrolet</x:v>
      </x:c>
      <x:c r="J163" s="143" t="str">
        <x:v>Silverado 1500</x:v>
      </x:c>
      <x:c r="K163" s="143" t="str">
        <x:v>LT (2FL)</x:v>
      </x:c>
      <x:c r="L163" s="143" t="str">
        <x:v>2026 Chevrolet Silverado 1500 LT (2FL)</x:v>
      </x:c>
      <x:c r="M163" s="146" t="n">
        <x:v>4</x:v>
      </x:c>
      <x:c r="N163" s="147" t="n">
        <x:v>49304</x:v>
      </x:c>
      <x:c r="O163" s="143" t="str">
        <x:v>Listed</x:v>
      </x:c>
      <x:c r="P163" s="143" t="str">
        <x:v>VEH-C35F7E3BCE44</x:v>
      </x:c>
      <x:c r="Q163" s="143" t="str">
        <x:v>ARPIC35F7E3BCE440</x:v>
      </x:c>
      <x:c r="R163" s="145" t="n">
        <x:v>1</x:v>
      </x:c>
      <x:c r="S163" s="143" t="str">
        <x:v>Sanitized public reference data</x:v>
      </x:c>
    </x:row>
    <x:row r="164" ht="19" customHeight="1">
      <x:c r="A164" s="143" t="str">
        <x:v>GSA001-20260802-0163</x:v>
      </x:c>
      <x:c r="B164" s="143" t="str">
        <x:v>GSA-001</x:v>
      </x:c>
      <x:c r="C164" s="143" t="str">
        <x:v>Granite Chevrolet of Nashua</x:v>
      </x:c>
      <x:c r="D164" s="144" t="n">
        <x:v>46236</x:v>
      </x:c>
      <x:c r="E164" s="143" t="str">
        <x:v>GSA001-20260802-001</x:v>
      </x:c>
      <x:c r="F164" s="143" t="str">
        <x:v>sanitized_public_inventory_reference</x:v>
      </x:c>
      <x:c r="G164" s="143" t="str">
        <x:v>New</x:v>
      </x:c>
      <x:c r="H164" s="145" t="n">
        <x:v>2026</x:v>
      </x:c>
      <x:c r="I164" s="143" t="str">
        <x:v>Chevrolet</x:v>
      </x:c>
      <x:c r="J164" s="143" t="str">
        <x:v>Traverse</x:v>
      </x:c>
      <x:c r="K164" s="143" t="str">
        <x:v>LT</x:v>
      </x:c>
      <x:c r="L164" s="143" t="str">
        <x:v>2026 Chevrolet Traverse LT</x:v>
      </x:c>
      <x:c r="M164" s="146" t="n">
        <x:v>4</x:v>
      </x:c>
      <x:c r="N164" s="147" t="n">
        <x:v>43425</x:v>
      </x:c>
      <x:c r="O164" s="143" t="str">
        <x:v>Listed</x:v>
      </x:c>
      <x:c r="P164" s="143" t="str">
        <x:v>VEH-5F380AF844AD</x:v>
      </x:c>
      <x:c r="Q164" s="143" t="str">
        <x:v>ARPI5F380AF844AD9</x:v>
      </x:c>
      <x:c r="R164" s="145" t="n">
        <x:v>1</x:v>
      </x:c>
      <x:c r="S164" s="143" t="str">
        <x:v>Sanitized public reference data</x:v>
      </x:c>
    </x:row>
    <x:row r="165" ht="19" customHeight="1">
      <x:c r="A165" s="143" t="str">
        <x:v>GSA001-20260802-0164</x:v>
      </x:c>
      <x:c r="B165" s="143" t="str">
        <x:v>GSA-001</x:v>
      </x:c>
      <x:c r="C165" s="143" t="str">
        <x:v>Granite Chevrolet of Nashua</x:v>
      </x:c>
      <x:c r="D165" s="144" t="n">
        <x:v>46236</x:v>
      </x:c>
      <x:c r="E165" s="143" t="str">
        <x:v>GSA001-20260802-001</x:v>
      </x:c>
      <x:c r="F165" s="143" t="str">
        <x:v>sanitized_public_inventory_reference</x:v>
      </x:c>
      <x:c r="G165" s="143" t="str">
        <x:v>New</x:v>
      </x:c>
      <x:c r="H165" s="145" t="n">
        <x:v>2026</x:v>
      </x:c>
      <x:c r="I165" s="143" t="str">
        <x:v>Chevrolet</x:v>
      </x:c>
      <x:c r="J165" s="143" t="str">
        <x:v>Silverado 2500 HD</x:v>
      </x:c>
      <x:c r="K165" s="143" t="str">
        <x:v>LTZ</x:v>
      </x:c>
      <x:c r="L165" s="143" t="str">
        <x:v>2026 Chevrolet Silverado 2500 HD LTZ</x:v>
      </x:c>
      <x:c r="M165" s="146" t="n">
        <x:v>3</x:v>
      </x:c>
      <x:c r="N165" s="147" t="n">
        <x:v>71330</x:v>
      </x:c>
      <x:c r="O165" s="143" t="str">
        <x:v>Listed</x:v>
      </x:c>
      <x:c r="P165" s="143" t="str">
        <x:v>VEH-5C8658317438</x:v>
      </x:c>
      <x:c r="Q165" s="143" t="str">
        <x:v>ARPI5C86583174387</x:v>
      </x:c>
      <x:c r="R165" s="145" t="n">
        <x:v>1</x:v>
      </x:c>
      <x:c r="S165" s="143" t="str">
        <x:v>Sanitized public reference data</x:v>
      </x:c>
    </x:row>
    <x:row r="166" ht="19" customHeight="1">
      <x:c r="A166" s="143" t="str">
        <x:v>GSA001-20260802-0165</x:v>
      </x:c>
      <x:c r="B166" s="143" t="str">
        <x:v>GSA-001</x:v>
      </x:c>
      <x:c r="C166" s="143" t="str">
        <x:v>Granite Chevrolet of Nashua</x:v>
      </x:c>
      <x:c r="D166" s="144" t="n">
        <x:v>46236</x:v>
      </x:c>
      <x:c r="E166" s="143" t="str">
        <x:v>GSA001-20260802-001</x:v>
      </x:c>
      <x:c r="F166" s="143" t="str">
        <x:v>sanitized_public_inventory_reference</x:v>
      </x:c>
      <x:c r="G166" s="143" t="str">
        <x:v>New</x:v>
      </x:c>
      <x:c r="H166" s="145" t="n">
        <x:v>2026</x:v>
      </x:c>
      <x:c r="I166" s="143" t="str">
        <x:v>Chevrolet</x:v>
      </x:c>
      <x:c r="J166" s="143" t="str">
        <x:v>Silverado 1500</x:v>
      </x:c>
      <x:c r="K166" s="143" t="str">
        <x:v>RST</x:v>
      </x:c>
      <x:c r="L166" s="143" t="str">
        <x:v>2026 Chevrolet Silverado 1500 RST</x:v>
      </x:c>
      <x:c r="M166" s="146" t="n">
        <x:v>3</x:v>
      </x:c>
      <x:c r="N166" s="147" t="n">
        <x:v>52054</x:v>
      </x:c>
      <x:c r="O166" s="143" t="str">
        <x:v>Listed</x:v>
      </x:c>
      <x:c r="P166" s="143" t="str">
        <x:v>VEH-F5CE5119B14A</x:v>
      </x:c>
      <x:c r="Q166" s="143" t="str">
        <x:v>ARPIF5CE5119B14AE</x:v>
      </x:c>
      <x:c r="R166" s="145" t="n">
        <x:v>1</x:v>
      </x:c>
      <x:c r="S166" s="143" t="str">
        <x:v>Sanitized public reference data</x:v>
      </x:c>
    </x:row>
    <x:row r="167" ht="19" customHeight="1">
      <x:c r="A167" s="143" t="str">
        <x:v>GSA001-20260802-0166</x:v>
      </x:c>
      <x:c r="B167" s="143" t="str">
        <x:v>GSA-001</x:v>
      </x:c>
      <x:c r="C167" s="143" t="str">
        <x:v>Granite Chevrolet of Nashua</x:v>
      </x:c>
      <x:c r="D167" s="144" t="n">
        <x:v>46236</x:v>
      </x:c>
      <x:c r="E167" s="143" t="str">
        <x:v>GSA001-20260802-001</x:v>
      </x:c>
      <x:c r="F167" s="143" t="str">
        <x:v>sanitized_public_inventory_reference</x:v>
      </x:c>
      <x:c r="G167" s="143" t="str">
        <x:v>New</x:v>
      </x:c>
      <x:c r="H167" s="145" t="n">
        <x:v>2026</x:v>
      </x:c>
      <x:c r="I167" s="143" t="str">
        <x:v>Chevrolet</x:v>
      </x:c>
      <x:c r="J167" s="143" t="str">
        <x:v>Silverado 1500</x:v>
      </x:c>
      <x:c r="K167" s="143" t="str">
        <x:v>WT</x:v>
      </x:c>
      <x:c r="L167" s="143" t="str">
        <x:v>2026 Chevrolet Silverado 1500 WT</x:v>
      </x:c>
      <x:c r="M167" s="146" t="n">
        <x:v>4</x:v>
      </x:c>
      <x:c r="N167" s="147" t="n">
        <x:v>39546</x:v>
      </x:c>
      <x:c r="O167" s="143" t="str">
        <x:v>Listed</x:v>
      </x:c>
      <x:c r="P167" s="143" t="str">
        <x:v>VEH-C3B56E56EAB8</x:v>
      </x:c>
      <x:c r="Q167" s="143" t="str">
        <x:v>ARPIC3B56E56EAB81</x:v>
      </x:c>
      <x:c r="R167" s="145" t="n">
        <x:v>1</x:v>
      </x:c>
      <x:c r="S167" s="143" t="str">
        <x:v>Sanitized public reference data</x:v>
      </x:c>
    </x:row>
    <x:row r="168" ht="19" customHeight="1">
      <x:c r="A168" s="143" t="str">
        <x:v>GSA001-20260802-0167</x:v>
      </x:c>
      <x:c r="B168" s="143" t="str">
        <x:v>GSA-001</x:v>
      </x:c>
      <x:c r="C168" s="143" t="str">
        <x:v>Granite Chevrolet of Nashua</x:v>
      </x:c>
      <x:c r="D168" s="144" t="n">
        <x:v>46236</x:v>
      </x:c>
      <x:c r="E168" s="143" t="str">
        <x:v>GSA001-20260802-001</x:v>
      </x:c>
      <x:c r="F168" s="143" t="str">
        <x:v>sanitized_public_inventory_reference</x:v>
      </x:c>
      <x:c r="G168" s="143" t="str">
        <x:v>New</x:v>
      </x:c>
      <x:c r="H168" s="145" t="n">
        <x:v>2026</x:v>
      </x:c>
      <x:c r="I168" s="143" t="str">
        <x:v>Chevrolet</x:v>
      </x:c>
      <x:c r="J168" s="143" t="str">
        <x:v>Trailblazer</x:v>
      </x:c>
      <x:c r="K168" s="143" t="str">
        <x:v>RS</x:v>
      </x:c>
      <x:c r="L168" s="143" t="str">
        <x:v>2026 Chevrolet Trailblazer RS</x:v>
      </x:c>
      <x:c r="M168" s="146" t="n">
        <x:v>4</x:v>
      </x:c>
      <x:c r="N168" s="147" t="n">
        <x:v>31274</x:v>
      </x:c>
      <x:c r="O168" s="143" t="str">
        <x:v>Listed</x:v>
      </x:c>
      <x:c r="P168" s="143" t="str">
        <x:v>VEH-C8292640A4CC</x:v>
      </x:c>
      <x:c r="Q168" s="143" t="str">
        <x:v>ARPIC8292640A4CC7</x:v>
      </x:c>
      <x:c r="R168" s="145" t="n">
        <x:v>1</x:v>
      </x:c>
      <x:c r="S168" s="143" t="str">
        <x:v>Sanitized public reference data</x:v>
      </x:c>
    </x:row>
    <x:row r="169" ht="19" customHeight="1">
      <x:c r="A169" s="143" t="str">
        <x:v>GSA001-20260802-0168</x:v>
      </x:c>
      <x:c r="B169" s="143" t="str">
        <x:v>GSA-001</x:v>
      </x:c>
      <x:c r="C169" s="143" t="str">
        <x:v>Granite Chevrolet of Nashua</x:v>
      </x:c>
      <x:c r="D169" s="144" t="n">
        <x:v>46236</x:v>
      </x:c>
      <x:c r="E169" s="143" t="str">
        <x:v>GSA001-20260802-001</x:v>
      </x:c>
      <x:c r="F169" s="143" t="str">
        <x:v>sanitized_public_inventory_reference</x:v>
      </x:c>
      <x:c r="G169" s="143" t="str">
        <x:v>New</x:v>
      </x:c>
      <x:c r="H169" s="145" t="n">
        <x:v>2026</x:v>
      </x:c>
      <x:c r="I169" s="143" t="str">
        <x:v>Chevrolet</x:v>
      </x:c>
      <x:c r="J169" s="143" t="str">
        <x:v>Equinox</x:v>
      </x:c>
      <x:c r="K169" s="143" t="str">
        <x:v>RS</x:v>
      </x:c>
      <x:c r="L169" s="143" t="str">
        <x:v>2026 Chevrolet Equinox RS</x:v>
      </x:c>
      <x:c r="M169" s="146" t="n">
        <x:v>4</x:v>
      </x:c>
      <x:c r="N169" s="147" t="n">
        <x:v>39149</x:v>
      </x:c>
      <x:c r="O169" s="143" t="str">
        <x:v>Listed</x:v>
      </x:c>
      <x:c r="P169" s="143" t="str">
        <x:v>VEH-50449B103927</x:v>
      </x:c>
      <x:c r="Q169" s="143" t="str">
        <x:v>ARPI50449B1039279</x:v>
      </x:c>
      <x:c r="R169" s="145" t="n">
        <x:v>1</x:v>
      </x:c>
      <x:c r="S169" s="143" t="str">
        <x:v>Sanitized public reference data</x:v>
      </x:c>
    </x:row>
    <x:row r="170" ht="19" customHeight="1">
      <x:c r="A170" s="143" t="str">
        <x:v>GSA001-20260802-0169</x:v>
      </x:c>
      <x:c r="B170" s="143" t="str">
        <x:v>GSA-001</x:v>
      </x:c>
      <x:c r="C170" s="143" t="str">
        <x:v>Granite Chevrolet of Nashua</x:v>
      </x:c>
      <x:c r="D170" s="144" t="n">
        <x:v>46236</x:v>
      </x:c>
      <x:c r="E170" s="143" t="str">
        <x:v>GSA001-20260802-001</x:v>
      </x:c>
      <x:c r="F170" s="143" t="str">
        <x:v>sanitized_public_inventory_reference</x:v>
      </x:c>
      <x:c r="G170" s="143" t="str">
        <x:v>New</x:v>
      </x:c>
      <x:c r="H170" s="145" t="n">
        <x:v>2026</x:v>
      </x:c>
      <x:c r="I170" s="143" t="str">
        <x:v>Chevrolet</x:v>
      </x:c>
      <x:c r="J170" s="143" t="str">
        <x:v>Silverado 2500 HD</x:v>
      </x:c>
      <x:c r="K170" s="143" t="str">
        <x:v>LT</x:v>
      </x:c>
      <x:c r="L170" s="143" t="str">
        <x:v>2026 Chevrolet Silverado 2500 HD LT</x:v>
      </x:c>
      <x:c r="M170" s="146" t="n">
        <x:v>4</x:v>
      </x:c>
      <x:c r="N170" s="147" t="n">
        <x:v>64058</x:v>
      </x:c>
      <x:c r="O170" s="143" t="str">
        <x:v>Listed</x:v>
      </x:c>
      <x:c r="P170" s="143" t="str">
        <x:v>VEH-CB68410F9CBC</x:v>
      </x:c>
      <x:c r="Q170" s="143" t="str">
        <x:v>ARPICB68410F9CBCB</x:v>
      </x:c>
      <x:c r="R170" s="145" t="n">
        <x:v>1</x:v>
      </x:c>
      <x:c r="S170" s="143" t="str">
        <x:v>Sanitized public reference data</x:v>
      </x:c>
    </x:row>
    <x:row r="171" ht="19" customHeight="1">
      <x:c r="A171" s="143" t="str">
        <x:v>GSA001-20260802-0170</x:v>
      </x:c>
      <x:c r="B171" s="143" t="str">
        <x:v>GSA-001</x:v>
      </x:c>
      <x:c r="C171" s="143" t="str">
        <x:v>Granite Chevrolet of Nashua</x:v>
      </x:c>
      <x:c r="D171" s="144" t="n">
        <x:v>46236</x:v>
      </x:c>
      <x:c r="E171" s="143" t="str">
        <x:v>GSA001-20260802-001</x:v>
      </x:c>
      <x:c r="F171" s="143" t="str">
        <x:v>sanitized_public_inventory_reference</x:v>
      </x:c>
      <x:c r="G171" s="143" t="str">
        <x:v>New</x:v>
      </x:c>
      <x:c r="H171" s="145" t="n">
        <x:v>2026</x:v>
      </x:c>
      <x:c r="I171" s="143" t="str">
        <x:v>Chevrolet</x:v>
      </x:c>
      <x:c r="J171" s="143" t="str">
        <x:v>Colorado</x:v>
      </x:c>
      <x:c r="K171" s="143" t="str">
        <x:v>WT</x:v>
      </x:c>
      <x:c r="L171" s="143" t="str">
        <x:v>2026 Chevrolet Colorado WT</x:v>
      </x:c>
      <x:c r="M171" s="146" t="n">
        <x:v>7</x:v>
      </x:c>
      <x:c r="N171" s="147" t="n">
        <x:v>36353</x:v>
      </x:c>
      <x:c r="O171" s="143" t="str">
        <x:v>Listed</x:v>
      </x:c>
      <x:c r="P171" s="143" t="str">
        <x:v>VEH-9DB872B31AB7</x:v>
      </x:c>
      <x:c r="Q171" s="143" t="str">
        <x:v>ARPI9DB872B31AB7E</x:v>
      </x:c>
      <x:c r="R171" s="145" t="n">
        <x:v>1</x:v>
      </x:c>
      <x:c r="S171" s="143" t="str">
        <x:v>Sanitized public reference data</x:v>
      </x:c>
    </x:row>
    <x:row r="172" ht="19" customHeight="1">
      <x:c r="A172" s="143" t="str">
        <x:v>GSA001-20260802-0171</x:v>
      </x:c>
      <x:c r="B172" s="143" t="str">
        <x:v>GSA-001</x:v>
      </x:c>
      <x:c r="C172" s="143" t="str">
        <x:v>Granite Chevrolet of Nashua</x:v>
      </x:c>
      <x:c r="D172" s="144" t="n">
        <x:v>46236</x:v>
      </x:c>
      <x:c r="E172" s="143" t="str">
        <x:v>GSA001-20260802-001</x:v>
      </x:c>
      <x:c r="F172" s="143" t="str">
        <x:v>sanitized_public_inventory_reference</x:v>
      </x:c>
      <x:c r="G172" s="143" t="str">
        <x:v>New</x:v>
      </x:c>
      <x:c r="H172" s="145" t="n">
        <x:v>2026</x:v>
      </x:c>
      <x:c r="I172" s="143" t="str">
        <x:v>Chevrolet</x:v>
      </x:c>
      <x:c r="J172" s="143" t="str">
        <x:v>Silverado 2500 HD</x:v>
      </x:c>
      <x:c r="K172" s="143" t="str">
        <x:v>LT</x:v>
      </x:c>
      <x:c r="L172" s="143" t="str">
        <x:v>2026 Chevrolet Silverado 2500 HD LT</x:v>
      </x:c>
      <x:c r="M172" s="146" t="n">
        <x:v>4</x:v>
      </x:c>
      <x:c r="N172" s="147" t="n">
        <x:v>71678</x:v>
      </x:c>
      <x:c r="O172" s="143" t="str">
        <x:v>Listed</x:v>
      </x:c>
      <x:c r="P172" s="143" t="str">
        <x:v>VEH-C15468A4E0E9</x:v>
      </x:c>
      <x:c r="Q172" s="143" t="str">
        <x:v>ARPIC15468A4E0E98</x:v>
      </x:c>
      <x:c r="R172" s="145" t="n">
        <x:v>1</x:v>
      </x:c>
      <x:c r="S172" s="143" t="str">
        <x:v>Sanitized public reference data</x:v>
      </x:c>
    </x:row>
    <x:row r="173" ht="19" customHeight="1">
      <x:c r="A173" s="143" t="str">
        <x:v>GSA001-20260802-0172</x:v>
      </x:c>
      <x:c r="B173" s="143" t="str">
        <x:v>GSA-001</x:v>
      </x:c>
      <x:c r="C173" s="143" t="str">
        <x:v>Granite Chevrolet of Nashua</x:v>
      </x:c>
      <x:c r="D173" s="144" t="n">
        <x:v>46236</x:v>
      </x:c>
      <x:c r="E173" s="143" t="str">
        <x:v>GSA001-20260802-001</x:v>
      </x:c>
      <x:c r="F173" s="143" t="str">
        <x:v>sanitized_public_inventory_reference</x:v>
      </x:c>
      <x:c r="G173" s="143" t="str">
        <x:v>New</x:v>
      </x:c>
      <x:c r="H173" s="145" t="n">
        <x:v>2026</x:v>
      </x:c>
      <x:c r="I173" s="143" t="str">
        <x:v>Chevrolet</x:v>
      </x:c>
      <x:c r="J173" s="143" t="str">
        <x:v>Silverado 2500 HD</x:v>
      </x:c>
      <x:c r="K173" s="143" t="str">
        <x:v>LT</x:v>
      </x:c>
      <x:c r="L173" s="143" t="str">
        <x:v>2026 Chevrolet Silverado 2500 HD LT</x:v>
      </x:c>
      <x:c r="M173" s="146" t="n">
        <x:v>4</x:v>
      </x:c>
      <x:c r="N173" s="147" t="n">
        <x:v>72678</x:v>
      </x:c>
      <x:c r="O173" s="143" t="str">
        <x:v>Listed</x:v>
      </x:c>
      <x:c r="P173" s="143" t="str">
        <x:v>VEH-2442617C94F4</x:v>
      </x:c>
      <x:c r="Q173" s="143" t="str">
        <x:v>ARPI2442617C94F4B</x:v>
      </x:c>
      <x:c r="R173" s="145" t="n">
        <x:v>1</x:v>
      </x:c>
      <x:c r="S173" s="143" t="str">
        <x:v>Sanitized public reference data</x:v>
      </x:c>
    </x:row>
    <x:row r="174" ht="19" customHeight="1">
      <x:c r="A174" s="143" t="str">
        <x:v>GSA001-20260802-0173</x:v>
      </x:c>
      <x:c r="B174" s="143" t="str">
        <x:v>GSA-001</x:v>
      </x:c>
      <x:c r="C174" s="143" t="str">
        <x:v>Granite Chevrolet of Nashua</x:v>
      </x:c>
      <x:c r="D174" s="144" t="n">
        <x:v>46236</x:v>
      </x:c>
      <x:c r="E174" s="143" t="str">
        <x:v>GSA001-20260802-001</x:v>
      </x:c>
      <x:c r="F174" s="143" t="str">
        <x:v>sanitized_public_inventory_reference</x:v>
      </x:c>
      <x:c r="G174" s="143" t="str">
        <x:v>New</x:v>
      </x:c>
      <x:c r="H174" s="145" t="n">
        <x:v>2026</x:v>
      </x:c>
      <x:c r="I174" s="143" t="str">
        <x:v>Chevrolet</x:v>
      </x:c>
      <x:c r="J174" s="143" t="str">
        <x:v>Tahoe</x:v>
      </x:c>
      <x:c r="K174" s="143" t="str">
        <x:v>Premier</x:v>
      </x:c>
      <x:c r="L174" s="143" t="str">
        <x:v>2026 Chevrolet Tahoe Premier</x:v>
      </x:c>
      <x:c r="M174" s="146" t="n">
        <x:v>4</x:v>
      </x:c>
      <x:c r="N174" s="147" t="n">
        <x:v>79354</x:v>
      </x:c>
      <x:c r="O174" s="143" t="str">
        <x:v>Listed</x:v>
      </x:c>
      <x:c r="P174" s="143" t="str">
        <x:v>VEH-AD5BFD221A8A</x:v>
      </x:c>
      <x:c r="Q174" s="143" t="str">
        <x:v>ARPIAD5BFD221A8AE</x:v>
      </x:c>
      <x:c r="R174" s="145" t="n">
        <x:v>1</x:v>
      </x:c>
      <x:c r="S174" s="143" t="str">
        <x:v>Sanitized public reference data</x:v>
      </x:c>
    </x:row>
    <x:row r="175" ht="19" customHeight="1">
      <x:c r="A175" s="143" t="str">
        <x:v>GSA001-20260802-0174</x:v>
      </x:c>
      <x:c r="B175" s="143" t="str">
        <x:v>GSA-001</x:v>
      </x:c>
      <x:c r="C175" s="143" t="str">
        <x:v>Granite Chevrolet of Nashua</x:v>
      </x:c>
      <x:c r="D175" s="144" t="n">
        <x:v>46236</x:v>
      </x:c>
      <x:c r="E175" s="143" t="str">
        <x:v>GSA001-20260802-001</x:v>
      </x:c>
      <x:c r="F175" s="143" t="str">
        <x:v>sanitized_public_inventory_reference</x:v>
      </x:c>
      <x:c r="G175" s="143" t="str">
        <x:v>New</x:v>
      </x:c>
      <x:c r="H175" s="145" t="n">
        <x:v>2026</x:v>
      </x:c>
      <x:c r="I175" s="143" t="str">
        <x:v>Chevrolet</x:v>
      </x:c>
      <x:c r="J175" s="143" t="str">
        <x:v>Express Cutaway 3500</x:v>
      </x:c>
      <x:c r="K175" s="143" t="str">
        <x:v>1WT</x:v>
      </x:c>
      <x:c r="L175" s="143" t="str">
        <x:v>2026 Chevrolet Express Cutaway 3500 1WT</x:v>
      </x:c>
      <x:c r="M175" s="146" t="n">
        <x:v>4</x:v>
      </x:c>
      <x:c r="N175" s="147"/>
      <x:c r="O175" s="143" t="str">
        <x:v>Call for price</x:v>
      </x:c>
      <x:c r="P175" s="143" t="str">
        <x:v>VEH-4CC163DA7AB9</x:v>
      </x:c>
      <x:c r="Q175" s="143" t="str">
        <x:v>ARPI4CC163DA7AB9F</x:v>
      </x:c>
      <x:c r="R175" s="145" t="n">
        <x:v>1</x:v>
      </x:c>
      <x:c r="S175" s="143" t="str">
        <x:v>Sanitized public reference data</x:v>
      </x:c>
    </x:row>
    <x:row r="176" ht="19" customHeight="1">
      <x:c r="A176" s="143" t="str">
        <x:v>GSA001-20260802-0175</x:v>
      </x:c>
      <x:c r="B176" s="143" t="str">
        <x:v>GSA-001</x:v>
      </x:c>
      <x:c r="C176" s="143" t="str">
        <x:v>Granite Chevrolet of Nashua</x:v>
      </x:c>
      <x:c r="D176" s="144" t="n">
        <x:v>46236</x:v>
      </x:c>
      <x:c r="E176" s="143" t="str">
        <x:v>GSA001-20260802-001</x:v>
      </x:c>
      <x:c r="F176" s="143" t="str">
        <x:v>sanitized_public_inventory_reference</x:v>
      </x:c>
      <x:c r="G176" s="143" t="str">
        <x:v>New</x:v>
      </x:c>
      <x:c r="H176" s="145" t="n">
        <x:v>2026</x:v>
      </x:c>
      <x:c r="I176" s="143" t="str">
        <x:v>Chevrolet</x:v>
      </x:c>
      <x:c r="J176" s="143" t="str">
        <x:v>Silverado 1500</x:v>
      </x:c>
      <x:c r="K176" s="143" t="str">
        <x:v>LT</x:v>
      </x:c>
      <x:c r="L176" s="143" t="str">
        <x:v>2026 Chevrolet Silverado 1500 LT</x:v>
      </x:c>
      <x:c r="M176" s="146" t="n">
        <x:v>4</x:v>
      </x:c>
      <x:c r="N176" s="147" t="n">
        <x:v>52225</x:v>
      </x:c>
      <x:c r="O176" s="143" t="str">
        <x:v>Listed</x:v>
      </x:c>
      <x:c r="P176" s="143" t="str">
        <x:v>VEH-7588D128083A</x:v>
      </x:c>
      <x:c r="Q176" s="143" t="str">
        <x:v>ARPI7588D128083A4</x:v>
      </x:c>
      <x:c r="R176" s="145" t="n">
        <x:v>1</x:v>
      </x:c>
      <x:c r="S176" s="143" t="str">
        <x:v>Sanitized public reference data</x:v>
      </x:c>
    </x:row>
    <x:row r="177" ht="19" customHeight="1">
      <x:c r="A177" s="143" t="str">
        <x:v>GSA001-20260802-0176</x:v>
      </x:c>
      <x:c r="B177" s="143" t="str">
        <x:v>GSA-001</x:v>
      </x:c>
      <x:c r="C177" s="143" t="str">
        <x:v>Granite Chevrolet of Nashua</x:v>
      </x:c>
      <x:c r="D177" s="144" t="n">
        <x:v>46236</x:v>
      </x:c>
      <x:c r="E177" s="143" t="str">
        <x:v>GSA001-20260802-001</x:v>
      </x:c>
      <x:c r="F177" s="143" t="str">
        <x:v>sanitized_public_inventory_reference</x:v>
      </x:c>
      <x:c r="G177" s="143" t="str">
        <x:v>New</x:v>
      </x:c>
      <x:c r="H177" s="145" t="n">
        <x:v>2026</x:v>
      </x:c>
      <x:c r="I177" s="143" t="str">
        <x:v>Chevrolet</x:v>
      </x:c>
      <x:c r="J177" s="143" t="str">
        <x:v>Equinox</x:v>
      </x:c>
      <x:c r="K177" s="143" t="str">
        <x:v>LT</x:v>
      </x:c>
      <x:c r="L177" s="143" t="str">
        <x:v>2026 Chevrolet Equinox LT</x:v>
      </x:c>
      <x:c r="M177" s="146" t="n">
        <x:v>4</x:v>
      </x:c>
      <x:c r="N177" s="147" t="n">
        <x:v>34024</x:v>
      </x:c>
      <x:c r="O177" s="143" t="str">
        <x:v>Listed</x:v>
      </x:c>
      <x:c r="P177" s="143" t="str">
        <x:v>VEH-E3A32F1C875E</x:v>
      </x:c>
      <x:c r="Q177" s="143" t="str">
        <x:v>ARPIE3A32F1C875E3</x:v>
      </x:c>
      <x:c r="R177" s="145" t="n">
        <x:v>1</x:v>
      </x:c>
      <x:c r="S177" s="143" t="str">
        <x:v>Sanitized public reference data</x:v>
      </x:c>
    </x:row>
    <x:row r="178" ht="19" customHeight="1">
      <x:c r="A178" s="143" t="str">
        <x:v>GSA001-20260802-0177</x:v>
      </x:c>
      <x:c r="B178" s="143" t="str">
        <x:v>GSA-001</x:v>
      </x:c>
      <x:c r="C178" s="143" t="str">
        <x:v>Granite Chevrolet of Nashua</x:v>
      </x:c>
      <x:c r="D178" s="144" t="n">
        <x:v>46236</x:v>
      </x:c>
      <x:c r="E178" s="143" t="str">
        <x:v>GSA001-20260802-001</x:v>
      </x:c>
      <x:c r="F178" s="143" t="str">
        <x:v>sanitized_public_inventory_reference</x:v>
      </x:c>
      <x:c r="G178" s="143" t="str">
        <x:v>New</x:v>
      </x:c>
      <x:c r="H178" s="145" t="n">
        <x:v>2026</x:v>
      </x:c>
      <x:c r="I178" s="143" t="str">
        <x:v>Chevrolet</x:v>
      </x:c>
      <x:c r="J178" s="143" t="str">
        <x:v>Colorado</x:v>
      </x:c>
      <x:c r="K178" s="143" t="str">
        <x:v>LT</x:v>
      </x:c>
      <x:c r="L178" s="143" t="str">
        <x:v>2026 Chevrolet Colorado LT</x:v>
      </x:c>
      <x:c r="M178" s="146" t="n">
        <x:v>4</x:v>
      </x:c>
      <x:c r="N178" s="147" t="n">
        <x:v>43342</x:v>
      </x:c>
      <x:c r="O178" s="143" t="str">
        <x:v>Listed</x:v>
      </x:c>
      <x:c r="P178" s="143" t="str">
        <x:v>VEH-AEBC2F8BA4A9</x:v>
      </x:c>
      <x:c r="Q178" s="143" t="str">
        <x:v>ARPIAEBC2F8BA4A93</x:v>
      </x:c>
      <x:c r="R178" s="145" t="n">
        <x:v>1</x:v>
      </x:c>
      <x:c r="S178" s="143" t="str">
        <x:v>Sanitized public reference data</x:v>
      </x:c>
    </x:row>
    <x:row r="179" ht="19" customHeight="1">
      <x:c r="A179" s="143" t="str">
        <x:v>GSA001-20260802-0178</x:v>
      </x:c>
      <x:c r="B179" s="143" t="str">
        <x:v>GSA-001</x:v>
      </x:c>
      <x:c r="C179" s="143" t="str">
        <x:v>Granite Chevrolet of Nashua</x:v>
      </x:c>
      <x:c r="D179" s="144" t="n">
        <x:v>46236</x:v>
      </x:c>
      <x:c r="E179" s="143" t="str">
        <x:v>GSA001-20260802-001</x:v>
      </x:c>
      <x:c r="F179" s="143" t="str">
        <x:v>sanitized_public_inventory_reference</x:v>
      </x:c>
      <x:c r="G179" s="143" t="str">
        <x:v>New</x:v>
      </x:c>
      <x:c r="H179" s="145" t="n">
        <x:v>2026</x:v>
      </x:c>
      <x:c r="I179" s="143" t="str">
        <x:v>Chevrolet</x:v>
      </x:c>
      <x:c r="J179" s="143" t="str">
        <x:v>Silverado 1500</x:v>
      </x:c>
      <x:c r="K179" s="143" t="str">
        <x:v>LT</x:v>
      </x:c>
      <x:c r="L179" s="143" t="str">
        <x:v>2026 Chevrolet Silverado 1500 LT</x:v>
      </x:c>
      <x:c r="M179" s="146" t="n">
        <x:v>4</x:v>
      </x:c>
      <x:c r="N179" s="147" t="n">
        <x:v>49498</x:v>
      </x:c>
      <x:c r="O179" s="143" t="str">
        <x:v>Listed</x:v>
      </x:c>
      <x:c r="P179" s="143" t="str">
        <x:v>VEH-C2BBF3F9E096</x:v>
      </x:c>
      <x:c r="Q179" s="143" t="str">
        <x:v>ARPIC2BBF3F9E096B</x:v>
      </x:c>
      <x:c r="R179" s="145" t="n">
        <x:v>1</x:v>
      </x:c>
      <x:c r="S179" s="143" t="str">
        <x:v>Sanitized public reference data</x:v>
      </x:c>
    </x:row>
    <x:row r="180" ht="19" customHeight="1">
      <x:c r="A180" s="143" t="str">
        <x:v>GSA001-20260802-0179</x:v>
      </x:c>
      <x:c r="B180" s="143" t="str">
        <x:v>GSA-001</x:v>
      </x:c>
      <x:c r="C180" s="143" t="str">
        <x:v>Granite Chevrolet of Nashua</x:v>
      </x:c>
      <x:c r="D180" s="144" t="n">
        <x:v>46236</x:v>
      </x:c>
      <x:c r="E180" s="143" t="str">
        <x:v>GSA001-20260802-001</x:v>
      </x:c>
      <x:c r="F180" s="143" t="str">
        <x:v>sanitized_public_inventory_reference</x:v>
      </x:c>
      <x:c r="G180" s="143" t="str">
        <x:v>New</x:v>
      </x:c>
      <x:c r="H180" s="145" t="n">
        <x:v>2026</x:v>
      </x:c>
      <x:c r="I180" s="143" t="str">
        <x:v>Chevrolet</x:v>
      </x:c>
      <x:c r="J180" s="143" t="str">
        <x:v>Equinox</x:v>
      </x:c>
      <x:c r="K180" s="143" t="str">
        <x:v>LT</x:v>
      </x:c>
      <x:c r="L180" s="143" t="str">
        <x:v>2026 Chevrolet Equinox LT</x:v>
      </x:c>
      <x:c r="M180" s="146" t="n">
        <x:v>4</x:v>
      </x:c>
      <x:c r="N180" s="147" t="n">
        <x:v>31074</x:v>
      </x:c>
      <x:c r="O180" s="143" t="str">
        <x:v>Listed</x:v>
      </x:c>
      <x:c r="P180" s="143" t="str">
        <x:v>VEH-1DB785AB5D06</x:v>
      </x:c>
      <x:c r="Q180" s="143" t="str">
        <x:v>ARPI1DB785AB5D06A</x:v>
      </x:c>
      <x:c r="R180" s="145" t="n">
        <x:v>1</x:v>
      </x:c>
      <x:c r="S180" s="143" t="str">
        <x:v>Sanitized public reference data</x:v>
      </x:c>
    </x:row>
    <x:row r="181" ht="19" customHeight="1">
      <x:c r="A181" s="143" t="str">
        <x:v>GSA001-20260802-0180</x:v>
      </x:c>
      <x:c r="B181" s="143" t="str">
        <x:v>GSA-001</x:v>
      </x:c>
      <x:c r="C181" s="143" t="str">
        <x:v>Granite Chevrolet of Nashua</x:v>
      </x:c>
      <x:c r="D181" s="144" t="n">
        <x:v>46236</x:v>
      </x:c>
      <x:c r="E181" s="143" t="str">
        <x:v>GSA001-20260802-001</x:v>
      </x:c>
      <x:c r="F181" s="143" t="str">
        <x:v>sanitized_public_inventory_reference</x:v>
      </x:c>
      <x:c r="G181" s="143" t="str">
        <x:v>New</x:v>
      </x:c>
      <x:c r="H181" s="145" t="n">
        <x:v>2026</x:v>
      </x:c>
      <x:c r="I181" s="143" t="str">
        <x:v>Chevrolet</x:v>
      </x:c>
      <x:c r="J181" s="143" t="str">
        <x:v>Suburban</x:v>
      </x:c>
      <x:c r="K181" s="143" t="str">
        <x:v>LS</x:v>
      </x:c>
      <x:c r="L181" s="143" t="str">
        <x:v>2026 Chevrolet Suburban LS</x:v>
      </x:c>
      <x:c r="M181" s="146" t="n">
        <x:v>3</x:v>
      </x:c>
      <x:c r="N181" s="147" t="n">
        <x:v>70584</x:v>
      </x:c>
      <x:c r="O181" s="143" t="str">
        <x:v>Listed</x:v>
      </x:c>
      <x:c r="P181" s="143" t="str">
        <x:v>VEH-DE2A72F7954D</x:v>
      </x:c>
      <x:c r="Q181" s="143" t="str">
        <x:v>ARPIDE2A72F7954D0</x:v>
      </x:c>
      <x:c r="R181" s="145" t="n">
        <x:v>1</x:v>
      </x:c>
      <x:c r="S181" s="143" t="str">
        <x:v>Sanitized public reference data</x:v>
      </x:c>
    </x:row>
    <x:row r="182" ht="19" customHeight="1">
      <x:c r="A182" s="143" t="str">
        <x:v>GSA001-20260802-0181</x:v>
      </x:c>
      <x:c r="B182" s="143" t="str">
        <x:v>GSA-001</x:v>
      </x:c>
      <x:c r="C182" s="143" t="str">
        <x:v>Granite Chevrolet of Nashua</x:v>
      </x:c>
      <x:c r="D182" s="144" t="n">
        <x:v>46236</x:v>
      </x:c>
      <x:c r="E182" s="143" t="str">
        <x:v>GSA001-20260802-001</x:v>
      </x:c>
      <x:c r="F182" s="143" t="str">
        <x:v>sanitized_public_inventory_reference</x:v>
      </x:c>
      <x:c r="G182" s="143" t="str">
        <x:v>New</x:v>
      </x:c>
      <x:c r="H182" s="145" t="n">
        <x:v>2026</x:v>
      </x:c>
      <x:c r="I182" s="143" t="str">
        <x:v>Chevrolet</x:v>
      </x:c>
      <x:c r="J182" s="143" t="str">
        <x:v>Colorado</x:v>
      </x:c>
      <x:c r="K182" s="143" t="str">
        <x:v>LT</x:v>
      </x:c>
      <x:c r="L182" s="143" t="str">
        <x:v>2026 Chevrolet Colorado LT</x:v>
      </x:c>
      <x:c r="M182" s="146" t="n">
        <x:v>4</x:v>
      </x:c>
      <x:c r="N182" s="147" t="n">
        <x:v>43342</x:v>
      </x:c>
      <x:c r="O182" s="143" t="str">
        <x:v>Listed</x:v>
      </x:c>
      <x:c r="P182" s="143" t="str">
        <x:v>VEH-F2489EE36E4A</x:v>
      </x:c>
      <x:c r="Q182" s="143" t="str">
        <x:v>ARPIF2489EE36E4A0</x:v>
      </x:c>
      <x:c r="R182" s="145" t="n">
        <x:v>1</x:v>
      </x:c>
      <x:c r="S182" s="143" t="str">
        <x:v>Sanitized public reference data</x:v>
      </x:c>
    </x:row>
    <x:row r="183" ht="19" customHeight="1">
      <x:c r="A183" s="143" t="str">
        <x:v>GSA001-20260802-0182</x:v>
      </x:c>
      <x:c r="B183" s="143" t="str">
        <x:v>GSA-001</x:v>
      </x:c>
      <x:c r="C183" s="143" t="str">
        <x:v>Granite Chevrolet of Nashua</x:v>
      </x:c>
      <x:c r="D183" s="144" t="n">
        <x:v>46236</x:v>
      </x:c>
      <x:c r="E183" s="143" t="str">
        <x:v>GSA001-20260802-001</x:v>
      </x:c>
      <x:c r="F183" s="143" t="str">
        <x:v>sanitized_public_inventory_reference</x:v>
      </x:c>
      <x:c r="G183" s="143" t="str">
        <x:v>New</x:v>
      </x:c>
      <x:c r="H183" s="145" t="n">
        <x:v>2026</x:v>
      </x:c>
      <x:c r="I183" s="143" t="str">
        <x:v>Chevrolet</x:v>
      </x:c>
      <x:c r="J183" s="143" t="str">
        <x:v>Silverado 1500</x:v>
      </x:c>
      <x:c r="K183" s="143" t="str">
        <x:v>LT</x:v>
      </x:c>
      <x:c r="L183" s="143" t="str">
        <x:v>2026 Chevrolet Silverado 1500 LT</x:v>
      </x:c>
      <x:c r="M183" s="146" t="n">
        <x:v>4</x:v>
      </x:c>
      <x:c r="N183" s="147" t="n">
        <x:v>49498</x:v>
      </x:c>
      <x:c r="O183" s="143" t="str">
        <x:v>Listed</x:v>
      </x:c>
      <x:c r="P183" s="143" t="str">
        <x:v>VEH-801A752277E1</x:v>
      </x:c>
      <x:c r="Q183" s="143" t="str">
        <x:v>ARPI801A752277E11</x:v>
      </x:c>
      <x:c r="R183" s="145" t="n">
        <x:v>1</x:v>
      </x:c>
      <x:c r="S183" s="143" t="str">
        <x:v>Sanitized public reference data</x:v>
      </x:c>
    </x:row>
    <x:row r="184" ht="19" customHeight="1">
      <x:c r="A184" s="143" t="str">
        <x:v>GSA001-20260802-0183</x:v>
      </x:c>
      <x:c r="B184" s="143" t="str">
        <x:v>GSA-001</x:v>
      </x:c>
      <x:c r="C184" s="143" t="str">
        <x:v>Granite Chevrolet of Nashua</x:v>
      </x:c>
      <x:c r="D184" s="144" t="n">
        <x:v>46236</x:v>
      </x:c>
      <x:c r="E184" s="143" t="str">
        <x:v>GSA001-20260802-001</x:v>
      </x:c>
      <x:c r="F184" s="143" t="str">
        <x:v>sanitized_public_inventory_reference</x:v>
      </x:c>
      <x:c r="G184" s="143" t="str">
        <x:v>New</x:v>
      </x:c>
      <x:c r="H184" s="145" t="n">
        <x:v>2026</x:v>
      </x:c>
      <x:c r="I184" s="143" t="str">
        <x:v>Chevrolet</x:v>
      </x:c>
      <x:c r="J184" s="143" t="str">
        <x:v>Silverado 1500</x:v>
      </x:c>
      <x:c r="K184" s="143" t="str">
        <x:v>LT</x:v>
      </x:c>
      <x:c r="L184" s="143" t="str">
        <x:v>2026 Chevrolet Silverado 1500 LT</x:v>
      </x:c>
      <x:c r="M184" s="146" t="n">
        <x:v>4</x:v>
      </x:c>
      <x:c r="N184" s="147" t="n">
        <x:v>49498</x:v>
      </x:c>
      <x:c r="O184" s="143" t="str">
        <x:v>Listed</x:v>
      </x:c>
      <x:c r="P184" s="143" t="str">
        <x:v>VEH-48674C1689C2</x:v>
      </x:c>
      <x:c r="Q184" s="143" t="str">
        <x:v>ARPI48674C1689C2E</x:v>
      </x:c>
      <x:c r="R184" s="145" t="n">
        <x:v>1</x:v>
      </x:c>
      <x:c r="S184" s="143" t="str">
        <x:v>Sanitized public reference data</x:v>
      </x:c>
    </x:row>
    <x:row r="185" ht="19" customHeight="1">
      <x:c r="A185" s="143" t="str">
        <x:v>GSA001-20260802-0184</x:v>
      </x:c>
      <x:c r="B185" s="143" t="str">
        <x:v>GSA-001</x:v>
      </x:c>
      <x:c r="C185" s="143" t="str">
        <x:v>Granite Chevrolet of Nashua</x:v>
      </x:c>
      <x:c r="D185" s="144" t="n">
        <x:v>46236</x:v>
      </x:c>
      <x:c r="E185" s="143" t="str">
        <x:v>GSA001-20260802-001</x:v>
      </x:c>
      <x:c r="F185" s="143" t="str">
        <x:v>sanitized_public_inventory_reference</x:v>
      </x:c>
      <x:c r="G185" s="143" t="str">
        <x:v>New</x:v>
      </x:c>
      <x:c r="H185" s="145" t="n">
        <x:v>2026</x:v>
      </x:c>
      <x:c r="I185" s="143" t="str">
        <x:v>Chevrolet</x:v>
      </x:c>
      <x:c r="J185" s="143" t="str">
        <x:v>Suburban</x:v>
      </x:c>
      <x:c r="K185" s="143" t="str">
        <x:v>Premier</x:v>
      </x:c>
      <x:c r="L185" s="143" t="str">
        <x:v>2026 Chevrolet Suburban Premier</x:v>
      </x:c>
      <x:c r="M185" s="146" t="n">
        <x:v>4</x:v>
      </x:c>
      <x:c r="N185" s="147" t="n">
        <x:v>83150</x:v>
      </x:c>
      <x:c r="O185" s="143" t="str">
        <x:v>Listed</x:v>
      </x:c>
      <x:c r="P185" s="143" t="str">
        <x:v>VEH-135A25869F06</x:v>
      </x:c>
      <x:c r="Q185" s="143" t="str">
        <x:v>ARPI135A25869F06A</x:v>
      </x:c>
      <x:c r="R185" s="145" t="n">
        <x:v>1</x:v>
      </x:c>
      <x:c r="S185" s="143" t="str">
        <x:v>Sanitized public reference data</x:v>
      </x:c>
    </x:row>
    <x:row r="186" ht="19" customHeight="1">
      <x:c r="A186" s="143" t="str">
        <x:v>GSA001-20260802-0185</x:v>
      </x:c>
      <x:c r="B186" s="143" t="str">
        <x:v>GSA-001</x:v>
      </x:c>
      <x:c r="C186" s="143" t="str">
        <x:v>Granite Chevrolet of Nashua</x:v>
      </x:c>
      <x:c r="D186" s="144" t="n">
        <x:v>46236</x:v>
      </x:c>
      <x:c r="E186" s="143" t="str">
        <x:v>GSA001-20260802-001</x:v>
      </x:c>
      <x:c r="F186" s="143" t="str">
        <x:v>sanitized_public_inventory_reference</x:v>
      </x:c>
      <x:c r="G186" s="143" t="str">
        <x:v>New</x:v>
      </x:c>
      <x:c r="H186" s="145" t="n">
        <x:v>2027</x:v>
      </x:c>
      <x:c r="I186" s="143" t="str">
        <x:v>Chevrolet</x:v>
      </x:c>
      <x:c r="J186" s="143" t="str">
        <x:v>Corvette Grand Sport</x:v>
      </x:c>
      <x:c r="K186" s="143" t="str">
        <x:v>2LT</x:v>
      </x:c>
      <x:c r="L186" s="143" t="str">
        <x:v>2027 Chevrolet Corvette Grand Sport 2LT</x:v>
      </x:c>
      <x:c r="M186" s="146" t="n">
        <x:v>4</x:v>
      </x:c>
      <x:c r="N186" s="147" t="n">
        <x:v>109674</x:v>
      </x:c>
      <x:c r="O186" s="143" t="str">
        <x:v>Listed</x:v>
      </x:c>
      <x:c r="P186" s="143" t="str">
        <x:v>VEH-19165322E220</x:v>
      </x:c>
      <x:c r="Q186" s="143" t="str">
        <x:v>ARPI19165322E2204</x:v>
      </x:c>
      <x:c r="R186" s="145" t="n">
        <x:v>1</x:v>
      </x:c>
      <x:c r="S186" s="143" t="str">
        <x:v>Sanitized public reference data</x:v>
      </x:c>
    </x:row>
    <x:row r="187" ht="19" customHeight="1">
      <x:c r="A187" s="143" t="str">
        <x:v>GSA001-20260802-0186</x:v>
      </x:c>
      <x:c r="B187" s="143" t="str">
        <x:v>GSA-001</x:v>
      </x:c>
      <x:c r="C187" s="143" t="str">
        <x:v>Granite Chevrolet of Nashua</x:v>
      </x:c>
      <x:c r="D187" s="144" t="n">
        <x:v>46236</x:v>
      </x:c>
      <x:c r="E187" s="143" t="str">
        <x:v>GSA001-20260802-001</x:v>
      </x:c>
      <x:c r="F187" s="143" t="str">
        <x:v>sanitized_public_inventory_reference</x:v>
      </x:c>
      <x:c r="G187" s="143" t="str">
        <x:v>New</x:v>
      </x:c>
      <x:c r="H187" s="145" t="n">
        <x:v>2026</x:v>
      </x:c>
      <x:c r="I187" s="143" t="str">
        <x:v>Chevrolet</x:v>
      </x:c>
      <x:c r="J187" s="143" t="str">
        <x:v>Silverado 1500</x:v>
      </x:c>
      <x:c r="K187" s="143" t="str">
        <x:v>LT (2FL)</x:v>
      </x:c>
      <x:c r="L187" s="143" t="str">
        <x:v>2026 Chevrolet Silverado 1500 LT (2FL)</x:v>
      </x:c>
      <x:c r="M187" s="146" t="n">
        <x:v>4</x:v>
      </x:c>
      <x:c r="N187" s="147" t="n">
        <x:v>49304</x:v>
      </x:c>
      <x:c r="O187" s="143" t="str">
        <x:v>Listed</x:v>
      </x:c>
      <x:c r="P187" s="143" t="str">
        <x:v>VEH-3BAA096E8CF8</x:v>
      </x:c>
      <x:c r="Q187" s="143" t="str">
        <x:v>ARPI3BAA096E8CF85</x:v>
      </x:c>
      <x:c r="R187" s="145" t="n">
        <x:v>1</x:v>
      </x:c>
      <x:c r="S187" s="143" t="str">
        <x:v>Sanitized public reference data</x:v>
      </x:c>
    </x:row>
    <x:row r="188" ht="19" customHeight="1">
      <x:c r="A188" s="143" t="str">
        <x:v>GSA001-20260802-0187</x:v>
      </x:c>
      <x:c r="B188" s="143" t="str">
        <x:v>GSA-001</x:v>
      </x:c>
      <x:c r="C188" s="143" t="str">
        <x:v>Granite Chevrolet of Nashua</x:v>
      </x:c>
      <x:c r="D188" s="144" t="n">
        <x:v>46236</x:v>
      </x:c>
      <x:c r="E188" s="143" t="str">
        <x:v>GSA001-20260802-001</x:v>
      </x:c>
      <x:c r="F188" s="143" t="str">
        <x:v>sanitized_public_inventory_reference</x:v>
      </x:c>
      <x:c r="G188" s="143" t="str">
        <x:v>New</x:v>
      </x:c>
      <x:c r="H188" s="145" t="n">
        <x:v>2026</x:v>
      </x:c>
      <x:c r="I188" s="143" t="str">
        <x:v>Chevrolet</x:v>
      </x:c>
      <x:c r="J188" s="143" t="str">
        <x:v>Silverado 1500</x:v>
      </x:c>
      <x:c r="K188" s="143" t="str">
        <x:v>High Country</x:v>
      </x:c>
      <x:c r="L188" s="143" t="str">
        <x:v>2026 Chevrolet Silverado 1500 High Country</x:v>
      </x:c>
      <x:c r="M188" s="146" t="n">
        <x:v>4</x:v>
      </x:c>
      <x:c r="N188" s="147" t="n">
        <x:v>70838</x:v>
      </x:c>
      <x:c r="O188" s="143" t="str">
        <x:v>Listed</x:v>
      </x:c>
      <x:c r="P188" s="143" t="str">
        <x:v>VEH-455C0C68AB9C</x:v>
      </x:c>
      <x:c r="Q188" s="143" t="str">
        <x:v>ARPI455C0C68AB9CF</x:v>
      </x:c>
      <x:c r="R188" s="145" t="n">
        <x:v>1</x:v>
      </x:c>
      <x:c r="S188" s="143" t="str">
        <x:v>Sanitized public reference data</x:v>
      </x:c>
    </x:row>
    <x:row r="189" ht="19" customHeight="1">
      <x:c r="A189" s="143" t="str">
        <x:v>GSA001-20260802-0188</x:v>
      </x:c>
      <x:c r="B189" s="143" t="str">
        <x:v>GSA-001</x:v>
      </x:c>
      <x:c r="C189" s="143" t="str">
        <x:v>Granite Chevrolet of Nashua</x:v>
      </x:c>
      <x:c r="D189" s="144" t="n">
        <x:v>46236</x:v>
      </x:c>
      <x:c r="E189" s="143" t="str">
        <x:v>GSA001-20260802-001</x:v>
      </x:c>
      <x:c r="F189" s="143" t="str">
        <x:v>sanitized_public_inventory_reference</x:v>
      </x:c>
      <x:c r="G189" s="143" t="str">
        <x:v>New</x:v>
      </x:c>
      <x:c r="H189" s="145" t="n">
        <x:v>2026</x:v>
      </x:c>
      <x:c r="I189" s="143" t="str">
        <x:v>Chevrolet</x:v>
      </x:c>
      <x:c r="J189" s="143" t="str">
        <x:v>Colorado</x:v>
      </x:c>
      <x:c r="K189" s="143" t="str">
        <x:v>WT</x:v>
      </x:c>
      <x:c r="L189" s="143" t="str">
        <x:v>2026 Chevrolet Colorado WT</x:v>
      </x:c>
      <x:c r="M189" s="146" t="n">
        <x:v>4</x:v>
      </x:c>
      <x:c r="N189" s="147" t="n">
        <x:v>38582</x:v>
      </x:c>
      <x:c r="O189" s="143" t="str">
        <x:v>Listed</x:v>
      </x:c>
      <x:c r="P189" s="143" t="str">
        <x:v>VEH-392741F18D29</x:v>
      </x:c>
      <x:c r="Q189" s="143" t="str">
        <x:v>ARPI392741F18D296</x:v>
      </x:c>
      <x:c r="R189" s="145" t="n">
        <x:v>1</x:v>
      </x:c>
      <x:c r="S189" s="143" t="str">
        <x:v>Sanitized public reference data</x:v>
      </x:c>
    </x:row>
    <x:row r="190" ht="19" customHeight="1">
      <x:c r="A190" s="143" t="str">
        <x:v>GSA001-20260802-0189</x:v>
      </x:c>
      <x:c r="B190" s="143" t="str">
        <x:v>GSA-001</x:v>
      </x:c>
      <x:c r="C190" s="143" t="str">
        <x:v>Granite Chevrolet of Nashua</x:v>
      </x:c>
      <x:c r="D190" s="144" t="n">
        <x:v>46236</x:v>
      </x:c>
      <x:c r="E190" s="143" t="str">
        <x:v>GSA001-20260802-001</x:v>
      </x:c>
      <x:c r="F190" s="143" t="str">
        <x:v>sanitized_public_inventory_reference</x:v>
      </x:c>
      <x:c r="G190" s="143" t="str">
        <x:v>New</x:v>
      </x:c>
      <x:c r="H190" s="145" t="n">
        <x:v>2026</x:v>
      </x:c>
      <x:c r="I190" s="143" t="str">
        <x:v>Chevrolet</x:v>
      </x:c>
      <x:c r="J190" s="143" t="str">
        <x:v>Silverado 2500 HD</x:v>
      </x:c>
      <x:c r="K190" s="143" t="str">
        <x:v>Custom</x:v>
      </x:c>
      <x:c r="L190" s="143" t="str">
        <x:v>2026 Chevrolet Silverado 2500 HD Custom</x:v>
      </x:c>
      <x:c r="M190" s="146" t="n">
        <x:v>4</x:v>
      </x:c>
      <x:c r="N190" s="147" t="n">
        <x:v>66221</x:v>
      </x:c>
      <x:c r="O190" s="143" t="str">
        <x:v>Listed</x:v>
      </x:c>
      <x:c r="P190" s="143" t="str">
        <x:v>VEH-13BE8F6DFCD5</x:v>
      </x:c>
      <x:c r="Q190" s="143" t="str">
        <x:v>ARPI13BE8F6DFCD54</x:v>
      </x:c>
      <x:c r="R190" s="145" t="n">
        <x:v>1</x:v>
      </x:c>
      <x:c r="S190" s="143" t="str">
        <x:v>Sanitized public reference data</x:v>
      </x:c>
    </x:row>
    <x:row r="191" ht="19" customHeight="1">
      <x:c r="A191" s="143" t="str">
        <x:v>GSA001-20260802-0190</x:v>
      </x:c>
      <x:c r="B191" s="143" t="str">
        <x:v>GSA-001</x:v>
      </x:c>
      <x:c r="C191" s="143" t="str">
        <x:v>Granite Chevrolet of Nashua</x:v>
      </x:c>
      <x:c r="D191" s="144" t="n">
        <x:v>46236</x:v>
      </x:c>
      <x:c r="E191" s="143" t="str">
        <x:v>GSA001-20260802-001</x:v>
      </x:c>
      <x:c r="F191" s="143" t="str">
        <x:v>sanitized_public_inventory_reference</x:v>
      </x:c>
      <x:c r="G191" s="143" t="str">
        <x:v>New</x:v>
      </x:c>
      <x:c r="H191" s="145" t="n">
        <x:v>2026</x:v>
      </x:c>
      <x:c r="I191" s="143" t="str">
        <x:v>Chevrolet</x:v>
      </x:c>
      <x:c r="J191" s="143" t="str">
        <x:v>Equinox</x:v>
      </x:c>
      <x:c r="K191" s="143" t="str">
        <x:v>RS</x:v>
      </x:c>
      <x:c r="L191" s="143" t="str">
        <x:v>2026 Chevrolet Equinox RS</x:v>
      </x:c>
      <x:c r="M191" s="146" t="n">
        <x:v>4</x:v>
      </x:c>
      <x:c r="N191" s="147" t="n">
        <x:v>39149</x:v>
      </x:c>
      <x:c r="O191" s="143" t="str">
        <x:v>Listed</x:v>
      </x:c>
      <x:c r="P191" s="143" t="str">
        <x:v>VEH-CCA99E4D120F</x:v>
      </x:c>
      <x:c r="Q191" s="143" t="str">
        <x:v>ARPICCA99E4D120F7</x:v>
      </x:c>
      <x:c r="R191" s="145" t="n">
        <x:v>1</x:v>
      </x:c>
      <x:c r="S191" s="143" t="str">
        <x:v>Sanitized public reference data</x:v>
      </x:c>
    </x:row>
    <x:row r="192" ht="19" customHeight="1">
      <x:c r="A192" s="143" t="str">
        <x:v>GSA001-20260802-0191</x:v>
      </x:c>
      <x:c r="B192" s="143" t="str">
        <x:v>GSA-001</x:v>
      </x:c>
      <x:c r="C192" s="143" t="str">
        <x:v>Granite Chevrolet of Nashua</x:v>
      </x:c>
      <x:c r="D192" s="144" t="n">
        <x:v>46236</x:v>
      </x:c>
      <x:c r="E192" s="143" t="str">
        <x:v>GSA001-20260802-001</x:v>
      </x:c>
      <x:c r="F192" s="143" t="str">
        <x:v>sanitized_public_inventory_reference</x:v>
      </x:c>
      <x:c r="G192" s="143" t="str">
        <x:v>New</x:v>
      </x:c>
      <x:c r="H192" s="145" t="n">
        <x:v>2026</x:v>
      </x:c>
      <x:c r="I192" s="143" t="str">
        <x:v>Chevrolet</x:v>
      </x:c>
      <x:c r="J192" s="143" t="str">
        <x:v>Traverse</x:v>
      </x:c>
      <x:c r="K192" s="143" t="str">
        <x:v>LT</x:v>
      </x:c>
      <x:c r="L192" s="143" t="str">
        <x:v>2026 Chevrolet Traverse LT</x:v>
      </x:c>
      <x:c r="M192" s="146" t="n">
        <x:v>4</x:v>
      </x:c>
      <x:c r="N192" s="147" t="n">
        <x:v>42968</x:v>
      </x:c>
      <x:c r="O192" s="143" t="str">
        <x:v>Listed</x:v>
      </x:c>
      <x:c r="P192" s="143" t="str">
        <x:v>VEH-27EEEF34240A</x:v>
      </x:c>
      <x:c r="Q192" s="143" t="str">
        <x:v>ARPI27EEEF34240A0</x:v>
      </x:c>
      <x:c r="R192" s="145" t="n">
        <x:v>1</x:v>
      </x:c>
      <x:c r="S192" s="143" t="str">
        <x:v>Sanitized public reference data</x:v>
      </x:c>
    </x:row>
    <x:row r="193" ht="19" customHeight="1">
      <x:c r="A193" s="143" t="str">
        <x:v>GSA001-20260802-0192</x:v>
      </x:c>
      <x:c r="B193" s="143" t="str">
        <x:v>GSA-001</x:v>
      </x:c>
      <x:c r="C193" s="143" t="str">
        <x:v>Granite Chevrolet of Nashua</x:v>
      </x:c>
      <x:c r="D193" s="144" t="n">
        <x:v>46236</x:v>
      </x:c>
      <x:c r="E193" s="143" t="str">
        <x:v>GSA001-20260802-001</x:v>
      </x:c>
      <x:c r="F193" s="143" t="str">
        <x:v>sanitized_public_inventory_reference</x:v>
      </x:c>
      <x:c r="G193" s="143" t="str">
        <x:v>New</x:v>
      </x:c>
      <x:c r="H193" s="145" t="n">
        <x:v>2026</x:v>
      </x:c>
      <x:c r="I193" s="143" t="str">
        <x:v>Chevrolet</x:v>
      </x:c>
      <x:c r="J193" s="143" t="str">
        <x:v>Silverado 1500</x:v>
      </x:c>
      <x:c r="K193" s="143" t="str">
        <x:v>LT</x:v>
      </x:c>
      <x:c r="L193" s="143" t="str">
        <x:v>2026 Chevrolet Silverado 1500 LT</x:v>
      </x:c>
      <x:c r="M193" s="146" t="n">
        <x:v>4</x:v>
      </x:c>
      <x:c r="N193" s="147" t="n">
        <x:v>54803</x:v>
      </x:c>
      <x:c r="O193" s="143" t="str">
        <x:v>Listed</x:v>
      </x:c>
      <x:c r="P193" s="143" t="str">
        <x:v>VEH-C2371DDDDF53</x:v>
      </x:c>
      <x:c r="Q193" s="143" t="str">
        <x:v>ARPIC2371DDDDF53D</x:v>
      </x:c>
      <x:c r="R193" s="145" t="n">
        <x:v>1</x:v>
      </x:c>
      <x:c r="S193" s="143" t="str">
        <x:v>Sanitized public reference data</x:v>
      </x:c>
    </x:row>
    <x:row r="194" ht="19" customHeight="1">
      <x:c r="A194" s="143" t="str">
        <x:v>GSA001-20260802-0193</x:v>
      </x:c>
      <x:c r="B194" s="143" t="str">
        <x:v>GSA-001</x:v>
      </x:c>
      <x:c r="C194" s="143" t="str">
        <x:v>Granite Chevrolet of Nashua</x:v>
      </x:c>
      <x:c r="D194" s="144" t="n">
        <x:v>46236</x:v>
      </x:c>
      <x:c r="E194" s="143" t="str">
        <x:v>GSA001-20260802-001</x:v>
      </x:c>
      <x:c r="F194" s="143" t="str">
        <x:v>sanitized_public_inventory_reference</x:v>
      </x:c>
      <x:c r="G194" s="143" t="str">
        <x:v>New</x:v>
      </x:c>
      <x:c r="H194" s="145" t="n">
        <x:v>2026</x:v>
      </x:c>
      <x:c r="I194" s="143" t="str">
        <x:v>Chevrolet</x:v>
      </x:c>
      <x:c r="J194" s="143" t="str">
        <x:v>Silverado 2500 HD</x:v>
      </x:c>
      <x:c r="K194" s="143" t="str">
        <x:v>LTZ</x:v>
      </x:c>
      <x:c r="L194" s="143" t="str">
        <x:v>2026 Chevrolet Silverado 2500 HD LTZ</x:v>
      </x:c>
      <x:c r="M194" s="146" t="n">
        <x:v>4</x:v>
      </x:c>
      <x:c r="N194" s="147" t="n">
        <x:v>77944</x:v>
      </x:c>
      <x:c r="O194" s="143" t="str">
        <x:v>Listed</x:v>
      </x:c>
      <x:c r="P194" s="143" t="str">
        <x:v>VEH-8580F5B5900A</x:v>
      </x:c>
      <x:c r="Q194" s="143" t="str">
        <x:v>ARPI8580F5B5900A4</x:v>
      </x:c>
      <x:c r="R194" s="145" t="n">
        <x:v>1</x:v>
      </x:c>
      <x:c r="S194" s="143" t="str">
        <x:v>Sanitized public reference data</x:v>
      </x:c>
    </x:row>
    <x:row r="195" ht="19" customHeight="1">
      <x:c r="A195" s="143" t="str">
        <x:v>GSA001-20260802-0194</x:v>
      </x:c>
      <x:c r="B195" s="143" t="str">
        <x:v>GSA-001</x:v>
      </x:c>
      <x:c r="C195" s="143" t="str">
        <x:v>Granite Chevrolet of Nashua</x:v>
      </x:c>
      <x:c r="D195" s="144" t="n">
        <x:v>46236</x:v>
      </x:c>
      <x:c r="E195" s="143" t="str">
        <x:v>GSA001-20260802-001</x:v>
      </x:c>
      <x:c r="F195" s="143" t="str">
        <x:v>sanitized_public_inventory_reference</x:v>
      </x:c>
      <x:c r="G195" s="143" t="str">
        <x:v>New</x:v>
      </x:c>
      <x:c r="H195" s="145" t="n">
        <x:v>2026</x:v>
      </x:c>
      <x:c r="I195" s="143" t="str">
        <x:v>Chevrolet</x:v>
      </x:c>
      <x:c r="J195" s="143" t="str">
        <x:v>Equinox</x:v>
      </x:c>
      <x:c r="K195" s="143" t="str">
        <x:v>LT</x:v>
      </x:c>
      <x:c r="L195" s="143" t="str">
        <x:v>2026 Chevrolet Equinox LT</x:v>
      </x:c>
      <x:c r="M195" s="146" t="n">
        <x:v>4</x:v>
      </x:c>
      <x:c r="N195" s="147" t="n">
        <x:v>31929</x:v>
      </x:c>
      <x:c r="O195" s="143" t="str">
        <x:v>Listed</x:v>
      </x:c>
      <x:c r="P195" s="143" t="str">
        <x:v>VEH-1DAC39C2A863</x:v>
      </x:c>
      <x:c r="Q195" s="143" t="str">
        <x:v>ARPI1DAC39C2A8632</x:v>
      </x:c>
      <x:c r="R195" s="145" t="n">
        <x:v>1</x:v>
      </x:c>
      <x:c r="S195" s="143" t="str">
        <x:v>Sanitized public reference data</x:v>
      </x:c>
    </x:row>
    <x:row r="196" ht="19" customHeight="1">
      <x:c r="A196" s="143" t="str">
        <x:v>GSA001-20260802-0195</x:v>
      </x:c>
      <x:c r="B196" s="143" t="str">
        <x:v>GSA-001</x:v>
      </x:c>
      <x:c r="C196" s="143" t="str">
        <x:v>Granite Chevrolet of Nashua</x:v>
      </x:c>
      <x:c r="D196" s="144" t="n">
        <x:v>46236</x:v>
      </x:c>
      <x:c r="E196" s="143" t="str">
        <x:v>GSA001-20260802-001</x:v>
      </x:c>
      <x:c r="F196" s="143" t="str">
        <x:v>sanitized_public_inventory_reference</x:v>
      </x:c>
      <x:c r="G196" s="143" t="str">
        <x:v>New</x:v>
      </x:c>
      <x:c r="H196" s="145" t="n">
        <x:v>2026</x:v>
      </x:c>
      <x:c r="I196" s="143" t="str">
        <x:v>Chevrolet</x:v>
      </x:c>
      <x:c r="J196" s="143" t="str">
        <x:v>Silverado 1500</x:v>
      </x:c>
      <x:c r="K196" s="143" t="str">
        <x:v>LT (2FL)</x:v>
      </x:c>
      <x:c r="L196" s="143" t="str">
        <x:v>2026 Chevrolet Silverado 1500 LT (2FL)</x:v>
      </x:c>
      <x:c r="M196" s="146" t="n">
        <x:v>11</x:v>
      </x:c>
      <x:c r="N196" s="147" t="n">
        <x:v>48248</x:v>
      </x:c>
      <x:c r="O196" s="143" t="str">
        <x:v>Listed</x:v>
      </x:c>
      <x:c r="P196" s="143" t="str">
        <x:v>VEH-E3CC3FA80A4F</x:v>
      </x:c>
      <x:c r="Q196" s="143" t="str">
        <x:v>ARPIE3CC3FA80A4F8</x:v>
      </x:c>
      <x:c r="R196" s="145" t="n">
        <x:v>1</x:v>
      </x:c>
      <x:c r="S196" s="143" t="str">
        <x:v>Sanitized public reference data</x:v>
      </x:c>
    </x:row>
    <x:row r="197" ht="19" customHeight="1">
      <x:c r="A197" s="143" t="str">
        <x:v>GSA001-20260802-0196</x:v>
      </x:c>
      <x:c r="B197" s="143" t="str">
        <x:v>GSA-001</x:v>
      </x:c>
      <x:c r="C197" s="143" t="str">
        <x:v>Granite Chevrolet of Nashua</x:v>
      </x:c>
      <x:c r="D197" s="144" t="n">
        <x:v>46236</x:v>
      </x:c>
      <x:c r="E197" s="143" t="str">
        <x:v>GSA001-20260802-001</x:v>
      </x:c>
      <x:c r="F197" s="143" t="str">
        <x:v>sanitized_public_inventory_reference</x:v>
      </x:c>
      <x:c r="G197" s="143" t="str">
        <x:v>Used</x:v>
      </x:c>
      <x:c r="H197" s="145" t="n">
        <x:v>2019</x:v>
      </x:c>
      <x:c r="I197" s="143" t="str">
        <x:v>GMC</x:v>
      </x:c>
      <x:c r="J197" s="143" t="str">
        <x:v>Sierra 2500 HD</x:v>
      </x:c>
      <x:c r="K197" s="143" t="str">
        <x:v>SLE</x:v>
      </x:c>
      <x:c r="L197" s="143" t="str">
        <x:v>2019 GMC Sierra 2500 HD SLE</x:v>
      </x:c>
      <x:c r="M197" s="146" t="n">
        <x:v>87787</x:v>
      </x:c>
      <x:c r="N197" s="147" t="n">
        <x:v>52380</x:v>
      </x:c>
      <x:c r="O197" s="143" t="str">
        <x:v>Listed</x:v>
      </x:c>
      <x:c r="P197" s="143" t="str">
        <x:v>VEH-E4CA158F8435</x:v>
      </x:c>
      <x:c r="Q197" s="143" t="str">
        <x:v>ARPIE4CA158F8435B</x:v>
      </x:c>
      <x:c r="R197" s="145" t="n">
        <x:v>1</x:v>
      </x:c>
      <x:c r="S197" s="143" t="str">
        <x:v>Sanitized public reference data</x:v>
      </x:c>
    </x:row>
    <x:row r="198" ht="19" customHeight="1">
      <x:c r="A198" s="143" t="str">
        <x:v>GSA001-20260802-0197</x:v>
      </x:c>
      <x:c r="B198" s="143" t="str">
        <x:v>GSA-001</x:v>
      </x:c>
      <x:c r="C198" s="143" t="str">
        <x:v>Granite Chevrolet of Nashua</x:v>
      </x:c>
      <x:c r="D198" s="144" t="n">
        <x:v>46236</x:v>
      </x:c>
      <x:c r="E198" s="143" t="str">
        <x:v>GSA001-20260802-001</x:v>
      </x:c>
      <x:c r="F198" s="143" t="str">
        <x:v>sanitized_public_inventory_reference</x:v>
      </x:c>
      <x:c r="G198" s="143" t="str">
        <x:v>Used</x:v>
      </x:c>
      <x:c r="H198" s="145" t="n">
        <x:v>2024</x:v>
      </x:c>
      <x:c r="I198" s="143" t="str">
        <x:v>Kia</x:v>
      </x:c>
      <x:c r="J198" s="143" t="str">
        <x:v>Sportage</x:v>
      </x:c>
      <x:c r="K198" s="143" t="str">
        <x:v>SX-Prestige</x:v>
      </x:c>
      <x:c r="L198" s="143" t="str">
        <x:v>2024 Kia Sportage SX-Prestige</x:v>
      </x:c>
      <x:c r="M198" s="146" t="n">
        <x:v>36436</x:v>
      </x:c>
      <x:c r="N198" s="147" t="n">
        <x:v>38955</x:v>
      </x:c>
      <x:c r="O198" s="143" t="str">
        <x:v>Listed</x:v>
      </x:c>
      <x:c r="P198" s="143" t="str">
        <x:v>VEH-AD085E9C998E</x:v>
      </x:c>
      <x:c r="Q198" s="143" t="str">
        <x:v>ARPIAD085E9C998EF</x:v>
      </x:c>
      <x:c r="R198" s="145" t="n">
        <x:v>1</x:v>
      </x:c>
      <x:c r="S198" s="143" t="str">
        <x:v>Sanitized public reference data</x:v>
      </x:c>
    </x:row>
    <x:row r="199" ht="19" customHeight="1">
      <x:c r="A199" s="143" t="str">
        <x:v>GSA001-20260802-0198</x:v>
      </x:c>
      <x:c r="B199" s="143" t="str">
        <x:v>GSA-001</x:v>
      </x:c>
      <x:c r="C199" s="143" t="str">
        <x:v>Granite Chevrolet of Nashua</x:v>
      </x:c>
      <x:c r="D199" s="144" t="n">
        <x:v>46236</x:v>
      </x:c>
      <x:c r="E199" s="143" t="str">
        <x:v>GSA001-20260802-001</x:v>
      </x:c>
      <x:c r="F199" s="143" t="str">
        <x:v>sanitized_public_inventory_reference</x:v>
      </x:c>
      <x:c r="G199" s="143" t="str">
        <x:v>Used</x:v>
      </x:c>
      <x:c r="H199" s="145" t="n">
        <x:v>2015</x:v>
      </x:c>
      <x:c r="I199" s="143" t="str">
        <x:v>Ford</x:v>
      </x:c>
      <x:c r="J199" s="143" t="str">
        <x:v>Fusion</x:v>
      </x:c>
      <x:c r="K199" s="143" t="str">
        <x:v>SE</x:v>
      </x:c>
      <x:c r="L199" s="143" t="str">
        <x:v>2015 Ford Fusion SE</x:v>
      </x:c>
      <x:c r="M199" s="146" t="n">
        <x:v>82254</x:v>
      </x:c>
      <x:c r="N199" s="147"/>
      <x:c r="O199" s="143" t="str">
        <x:v>Call for price</x:v>
      </x:c>
      <x:c r="P199" s="143" t="str">
        <x:v>VEH-A44AB70BE65C</x:v>
      </x:c>
      <x:c r="Q199" s="143" t="str">
        <x:v>ARPIA44AB70BE65C3</x:v>
      </x:c>
      <x:c r="R199" s="145" t="n">
        <x:v>1</x:v>
      </x:c>
      <x:c r="S199" s="143" t="str">
        <x:v>Sanitized public reference data</x:v>
      </x:c>
    </x:row>
    <x:row r="200" ht="19" customHeight="1">
      <x:c r="A200" s="148" t="str">
        <x:v>GSA001-20260802-0199</x:v>
      </x:c>
      <x:c r="B200" s="148" t="str">
        <x:v>GSA-001</x:v>
      </x:c>
      <x:c r="C200" s="148" t="str">
        <x:v>Granite Chevrolet of Nashua</x:v>
      </x:c>
      <x:c r="D200" s="149" t="n">
        <x:v>46236</x:v>
      </x:c>
      <x:c r="E200" s="148" t="str">
        <x:v>GSA001-20260802-001</x:v>
      </x:c>
      <x:c r="F200" s="148" t="str">
        <x:v>sanitized_public_inventory_reference</x:v>
      </x:c>
      <x:c r="G200" s="148" t="str">
        <x:v>Used</x:v>
      </x:c>
      <x:c r="H200" s="150" t="n">
        <x:v>2017</x:v>
      </x:c>
      <x:c r="I200" s="148" t="str">
        <x:v>Harley-Davidson</x:v>
      </x:c>
      <x:c r="J200" s="148" t="str">
        <x:v>HERITAGE SOFT TAIL CLASSI</x:v>
      </x:c>
      <x:c r="K200" s="148" t="str">
        <x:v>HERITAGE S</x:v>
      </x:c>
      <x:c r="L200" s="148" t="str">
        <x:v>2017 Harley-Davidson HERITAGE SOFT TAIL CLASSI HERITAGE S</x:v>
      </x:c>
      <x:c r="M200" s="151" t="n">
        <x:v>8339</x:v>
      </x:c>
      <x:c r="N200" s="152" t="n">
        <x:v>8500</x:v>
      </x:c>
      <x:c r="O200" s="148" t="str">
        <x:v>Listed</x:v>
      </x:c>
      <x:c r="P200" s="148" t="str">
        <x:v>VEH-C12174ED535A</x:v>
      </x:c>
      <x:c r="Q200" s="148" t="str">
        <x:v>ARPIC12174ED535A8</x:v>
      </x:c>
      <x:c r="R200" s="150" t="n">
        <x:v>1</x:v>
      </x:c>
      <x:c r="S200" s="148" t="str">
        <x:v>Sanitized public reference data</x:v>
      </x:c>
    </x:row>
  </x:sheetData>
  <x:conditionalFormatting sqref="O2:O200">
    <x:cfRule type="expression" dxfId="0" priority="1">
      <x:formula>O2="Call for price"</x:formula>
    </x:cfRule>
  </x:conditionalFormatting>
  <x:conditionalFormatting sqref="G2:G200">
    <x:cfRule type="expression" dxfId="1" priority="2">
      <x:formula>G2="Used"</x:formula>
    </x:cfRule>
  </x:conditionalFormatting>
  <x:conditionalFormatting sqref="N2:N200">
    <x:cfRule type="dataBar" priority="3">
      <x:dataBar>
        <x:cfvo type="min"/>
        <x:cfvo type="max"/>
        <x:color rgb="FF0A6C8B"/>
      </x:dataBar>
      <x:extLst>
        <x:ext xmlns:x14="http://schemas.microsoft.com/office/spreadsheetml/2009/9/main" uri="{B025F937-C7B1-47D3-B67F-A62EFF666E3E}">
          <x14:id>{D27E4CBC-CE78-ADE7-16F4-7BA6F2EFB9E1}</x14:id>
        </x:ext>
      </x:extLst>
    </x:cfRule>
  </x:conditionalFormatting>
  <x:dataValidations count="2">
    <x:dataValidation type="list" sqref="G2:G200">
      <x:formula1>"New,Used"</x:formula1>
    </x:dataValidation>
    <x:dataValidation type="list" sqref="O2:O200">
      <x:formula1>"Listed,Call for price"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7fda26b3b144f0a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D27E4CBC-CE78-ADE7-16F4-7BA6F2EFB9E1}">
            <x14:dataBar gradient="1">
              <x14:cfvo type="min"/>
              <x14:cfvo type="max"/>
              <x14:fillColor rgb="FF0A6C8B"/>
            </x14:dataBar>
          </x14:cfRule>
          <xm:sqref>N2:N200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34" hidden="0" customWidth="1"/>
    <x:col min="4" max="4" width="13" hidden="0" customWidth="1"/>
    <x:col min="5" max="5" width="13" hidden="0" customWidth="1"/>
    <x:col min="6" max="6" width="15" hidden="0" customWidth="1"/>
    <x:col min="7" max="7" width="20" hidden="0" customWidth="1"/>
    <x:col min="8" max="8" width="20" hidden="0" customWidth="1"/>
    <x:col min="9" max="9" width="20" hidden="0" customWidth="1"/>
  </x:cols>
  <x:sheetData>
    <x:row r="1" ht="28" customHeight="1">
      <x:c r="A1" s="5" t="str">
        <x:v>ARPI Inventory Operations | Model Summary</x:v>
      </x:c>
      <x:c r="B1" s="5"/>
      <x:c r="C1" s="5"/>
      <x:c r="D1" s="5"/>
      <x:c r="E1" s="5"/>
      <x:c r="F1" s="5"/>
      <x:c r="G1" s="5"/>
      <x:c r="H1" s="5"/>
      <x:c r="I1" s="5"/>
    </x:row>
    <x:row r="2" ht="28" customHeight="1">
      <x:c r="A2" s="5"/>
      <x:c r="B2" s="5"/>
      <x:c r="C2" s="5"/>
      <x:c r="D2" s="5"/>
      <x:c r="E2" s="5"/>
      <x:c r="F2" s="5"/>
      <x:c r="G2" s="5"/>
      <x:c r="H2" s="5"/>
      <x:c r="I2" s="5"/>
    </x:row>
    <x:row r="4">
      <x:c r="A4" s="165" t="str">
        <x:v>Condition</x:v>
      </x:c>
      <x:c r="B4" s="231" t="str">
        <x:v>Make</x:v>
      </x:c>
      <x:c r="C4" s="231" t="str">
        <x:v>Model</x:v>
      </x:c>
      <x:c r="D4" s="231" t="str">
        <x:v>Total Units</x:v>
      </x:c>
      <x:c r="E4" s="231" t="str">
        <x:v>Listed Units</x:v>
      </x:c>
      <x:c r="F4" s="231" t="str">
        <x:v>Call for Price</x:v>
      </x:c>
      <x:c r="G4" s="231" t="str">
        <x:v>Average Listed Price</x:v>
      </x:c>
      <x:c r="H4" s="231" t="str">
        <x:v>Minimum Listed Price</x:v>
      </x:c>
      <x:c r="I4" s="166" t="str">
        <x:v>Maximum Listed Price</x:v>
      </x:c>
    </x:row>
    <x:row r="5">
      <x:c r="A5" s="48" t="str">
        <x:v>New</x:v>
      </x:c>
      <x:c r="B5" s="49" t="str">
        <x:v>Chevrolet</x:v>
      </x:c>
      <x:c r="C5" s="49" t="str">
        <x:v>Silverado 1500</x:v>
      </x:c>
      <x:c r="D5" s="131" t="n">
        <x:f>COUNTIFS(Inventory!$G$2:$G$200,$A5,Inventory!$I$2:$I$200,$B5,Inventory!$J$2:$J$200,$C5)</x:f>
        <x:v>46</x:v>
      </x:c>
      <x:c r="E5" s="131" t="n">
        <x:f>COUNTIFS(Inventory!$G$2:$G$200,$A5,Inventory!$I$2:$I$200,$B5,Inventory!$J$2:$J$200,$C5,Inventory!$O$2:$O$200,"Listed")</x:f>
        <x:v>46</x:v>
      </x:c>
      <x:c r="F5" s="131" t="n">
        <x:f>COUNTIFS(Inventory!$G$2:$G$200,$A5,Inventory!$I$2:$I$200,$B5,Inventory!$J$2:$J$200,$C5,Inventory!$O$2:$O$200,"Call for price")</x:f>
        <x:v>0</x:v>
      </x:c>
      <x:c r="G5" s="139" t="n">
        <x:f>IF(E5=0,"",SUMIFS(Inventory!$N$2:$N$200,Inventory!$G$2:$G$200,$A5,Inventory!$I$2:$I$200,$B5,Inventory!$J$2:$J$200,$C5,Inventory!$O$2:$O$200,"Listed")/E5)</x:f>
        <x:v>52020.86956521739</x:v>
      </x:c>
      <x:c r="H5" s="139" t="n">
        <x:f>IF(E5=0,"",MINIFS(Inventory!$N$2:$N$200,Inventory!$G$2:$G$200,$A5,Inventory!$I$2:$I$200,$B5,Inventory!$J$2:$J$200,$C5,Inventory!$O$2:$O$200,"Listed"))</x:f>
        <x:v>39546</x:v>
      </x:c>
      <x:c r="I5" s="171" t="n">
        <x:f>IF(E5=0,"",MAXIFS(Inventory!$N$2:$N$200,Inventory!$G$2:$G$200,$A5,Inventory!$I$2:$I$200,$B5,Inventory!$J$2:$J$200,$C5,Inventory!$O$2:$O$200,"Listed"))</x:f>
        <x:v>75264</x:v>
      </x:c>
    </x:row>
    <x:row r="6">
      <x:c r="A6" s="48" t="str">
        <x:v>New</x:v>
      </x:c>
      <x:c r="B6" s="49" t="str">
        <x:v>Chevrolet</x:v>
      </x:c>
      <x:c r="C6" s="49" t="str">
        <x:v>Equinox</x:v>
      </x:c>
      <x:c r="D6" s="131" t="n">
        <x:f>COUNTIFS(Inventory!$G$2:$G$200,$A6,Inventory!$I$2:$I$200,$B6,Inventory!$J$2:$J$200,$C6)</x:f>
        <x:v>33</x:v>
      </x:c>
      <x:c r="E6" s="131" t="n">
        <x:f>COUNTIFS(Inventory!$G$2:$G$200,$A6,Inventory!$I$2:$I$200,$B6,Inventory!$J$2:$J$200,$C6,Inventory!$O$2:$O$200,"Listed")</x:f>
        <x:v>33</x:v>
      </x:c>
      <x:c r="F6" s="131" t="n">
        <x:f>COUNTIFS(Inventory!$G$2:$G$200,$A6,Inventory!$I$2:$I$200,$B6,Inventory!$J$2:$J$200,$C6,Inventory!$O$2:$O$200,"Call for price")</x:f>
        <x:v>0</x:v>
      </x:c>
      <x:c r="G6" s="139" t="n">
        <x:f>IF(E6=0,"",SUMIFS(Inventory!$N$2:$N$200,Inventory!$G$2:$G$200,$A6,Inventory!$I$2:$I$200,$B6,Inventory!$J$2:$J$200,$C6,Inventory!$O$2:$O$200,"Listed")/E6)</x:f>
        <x:v>34335.606060606064</x:v>
      </x:c>
      <x:c r="H6" s="139" t="n">
        <x:f>IF(E6=0,"",MINIFS(Inventory!$N$2:$N$200,Inventory!$G$2:$G$200,$A6,Inventory!$I$2:$I$200,$B6,Inventory!$J$2:$J$200,$C6,Inventory!$O$2:$O$200,"Listed"))</x:f>
        <x:v>31074</x:v>
      </x:c>
      <x:c r="I6" s="171" t="n">
        <x:f>IF(E6=0,"",MAXIFS(Inventory!$N$2:$N$200,Inventory!$G$2:$G$200,$A6,Inventory!$I$2:$I$200,$B6,Inventory!$J$2:$J$200,$C6,Inventory!$O$2:$O$200,"Listed"))</x:f>
        <x:v>39599</x:v>
      </x:c>
    </x:row>
    <x:row r="7">
      <x:c r="A7" s="48" t="str">
        <x:v>New</x:v>
      </x:c>
      <x:c r="B7" s="49" t="str">
        <x:v>Chevrolet</x:v>
      </x:c>
      <x:c r="C7" s="49" t="str">
        <x:v>Silverado 2500 HD</x:v>
      </x:c>
      <x:c r="D7" s="131" t="n">
        <x:f>COUNTIFS(Inventory!$G$2:$G$200,$A7,Inventory!$I$2:$I$200,$B7,Inventory!$J$2:$J$200,$C7)</x:f>
        <x:v>30</x:v>
      </x:c>
      <x:c r="E7" s="131" t="n">
        <x:f>COUNTIFS(Inventory!$G$2:$G$200,$A7,Inventory!$I$2:$I$200,$B7,Inventory!$J$2:$J$200,$C7,Inventory!$O$2:$O$200,"Listed")</x:f>
        <x:v>30</x:v>
      </x:c>
      <x:c r="F7" s="131" t="n">
        <x:f>COUNTIFS(Inventory!$G$2:$G$200,$A7,Inventory!$I$2:$I$200,$B7,Inventory!$J$2:$J$200,$C7,Inventory!$O$2:$O$200,"Call for price")</x:f>
        <x:v>0</x:v>
      </x:c>
      <x:c r="G7" s="139" t="n">
        <x:f>IF(E7=0,"",SUMIFS(Inventory!$N$2:$N$200,Inventory!$G$2:$G$200,$A7,Inventory!$I$2:$I$200,$B7,Inventory!$J$2:$J$200,$C7,Inventory!$O$2:$O$200,"Listed")/E7)</x:f>
        <x:v>70375</x:v>
      </x:c>
      <x:c r="H7" s="139" t="n">
        <x:f>IF(E7=0,"",MINIFS(Inventory!$N$2:$N$200,Inventory!$G$2:$G$200,$A7,Inventory!$I$2:$I$200,$B7,Inventory!$J$2:$J$200,$C7,Inventory!$O$2:$O$200,"Listed"))</x:f>
        <x:v>53082</x:v>
      </x:c>
      <x:c r="I7" s="171" t="n">
        <x:f>IF(E7=0,"",MAXIFS(Inventory!$N$2:$N$200,Inventory!$G$2:$G$200,$A7,Inventory!$I$2:$I$200,$B7,Inventory!$J$2:$J$200,$C7,Inventory!$O$2:$O$200,"Listed"))</x:f>
        <x:v>86501</x:v>
      </x:c>
    </x:row>
    <x:row r="8">
      <x:c r="A8" s="48" t="str">
        <x:v>New</x:v>
      </x:c>
      <x:c r="B8" s="49" t="str">
        <x:v>Chevrolet</x:v>
      </x:c>
      <x:c r="C8" s="49" t="str">
        <x:v>Traverse</x:v>
      </x:c>
      <x:c r="D8" s="131" t="n">
        <x:f>COUNTIFS(Inventory!$G$2:$G$200,$A8,Inventory!$I$2:$I$200,$B8,Inventory!$J$2:$J$200,$C8)</x:f>
        <x:v>22</x:v>
      </x:c>
      <x:c r="E8" s="131" t="n">
        <x:f>COUNTIFS(Inventory!$G$2:$G$200,$A8,Inventory!$I$2:$I$200,$B8,Inventory!$J$2:$J$200,$C8,Inventory!$O$2:$O$200,"Listed")</x:f>
        <x:v>22</x:v>
      </x:c>
      <x:c r="F8" s="131" t="n">
        <x:f>COUNTIFS(Inventory!$G$2:$G$200,$A8,Inventory!$I$2:$I$200,$B8,Inventory!$J$2:$J$200,$C8,Inventory!$O$2:$O$200,"Call for price")</x:f>
        <x:v>0</x:v>
      </x:c>
      <x:c r="G8" s="139" t="n">
        <x:f>IF(E8=0,"",SUMIFS(Inventory!$N$2:$N$200,Inventory!$G$2:$G$200,$A8,Inventory!$I$2:$I$200,$B8,Inventory!$J$2:$J$200,$C8,Inventory!$O$2:$O$200,"Listed")/E8)</x:f>
        <x:v>46705.181818181816</x:v>
      </x:c>
      <x:c r="H8" s="139" t="n">
        <x:f>IF(E8=0,"",MINIFS(Inventory!$N$2:$N$200,Inventory!$G$2:$G$200,$A8,Inventory!$I$2:$I$200,$B8,Inventory!$J$2:$J$200,$C8,Inventory!$O$2:$O$200,"Listed"))</x:f>
        <x:v>41412</x:v>
      </x:c>
      <x:c r="I8" s="171" t="n">
        <x:f>IF(E8=0,"",MAXIFS(Inventory!$N$2:$N$200,Inventory!$G$2:$G$200,$A8,Inventory!$I$2:$I$200,$B8,Inventory!$J$2:$J$200,$C8,Inventory!$O$2:$O$200,"Listed"))</x:f>
        <x:v>57525</x:v>
      </x:c>
    </x:row>
    <x:row r="9">
      <x:c r="A9" s="48" t="str">
        <x:v>New</x:v>
      </x:c>
      <x:c r="B9" s="49" t="str">
        <x:v>Chevrolet</x:v>
      </x:c>
      <x:c r="C9" s="49" t="str">
        <x:v>Colorado</x:v>
      </x:c>
      <x:c r="D9" s="131" t="n">
        <x:f>COUNTIFS(Inventory!$G$2:$G$200,$A9,Inventory!$I$2:$I$200,$B9,Inventory!$J$2:$J$200,$C9)</x:f>
        <x:v>14</x:v>
      </x:c>
      <x:c r="E9" s="131" t="n">
        <x:f>COUNTIFS(Inventory!$G$2:$G$200,$A9,Inventory!$I$2:$I$200,$B9,Inventory!$J$2:$J$200,$C9,Inventory!$O$2:$O$200,"Listed")</x:f>
        <x:v>14</x:v>
      </x:c>
      <x:c r="F9" s="131" t="n">
        <x:f>COUNTIFS(Inventory!$G$2:$G$200,$A9,Inventory!$I$2:$I$200,$B9,Inventory!$J$2:$J$200,$C9,Inventory!$O$2:$O$200,"Call for price")</x:f>
        <x:v>0</x:v>
      </x:c>
      <x:c r="G9" s="139" t="n">
        <x:f>IF(E9=0,"",SUMIFS(Inventory!$N$2:$N$200,Inventory!$G$2:$G$200,$A9,Inventory!$I$2:$I$200,$B9,Inventory!$J$2:$J$200,$C9,Inventory!$O$2:$O$200,"Listed")/E9)</x:f>
        <x:v>40142.92857142857</x:v>
      </x:c>
      <x:c r="H9" s="139" t="n">
        <x:f>IF(E9=0,"",MINIFS(Inventory!$N$2:$N$200,Inventory!$G$2:$G$200,$A9,Inventory!$I$2:$I$200,$B9,Inventory!$J$2:$J$200,$C9,Inventory!$O$2:$O$200,"Listed"))</x:f>
        <x:v>35860</x:v>
      </x:c>
      <x:c r="I9" s="171" t="n">
        <x:f>IF(E9=0,"",MAXIFS(Inventory!$N$2:$N$200,Inventory!$G$2:$G$200,$A9,Inventory!$I$2:$I$200,$B9,Inventory!$J$2:$J$200,$C9,Inventory!$O$2:$O$200,"Listed"))</x:f>
        <x:v>43790</x:v>
      </x:c>
    </x:row>
    <x:row r="10">
      <x:c r="A10" s="48" t="str">
        <x:v>New</x:v>
      </x:c>
      <x:c r="B10" s="49" t="str">
        <x:v>Chevrolet</x:v>
      </x:c>
      <x:c r="C10" s="49" t="str">
        <x:v>Tahoe</x:v>
      </x:c>
      <x:c r="D10" s="131" t="n">
        <x:f>COUNTIFS(Inventory!$G$2:$G$200,$A10,Inventory!$I$2:$I$200,$B10,Inventory!$J$2:$J$200,$C10)</x:f>
        <x:v>13</x:v>
      </x:c>
      <x:c r="E10" s="131" t="n">
        <x:f>COUNTIFS(Inventory!$G$2:$G$200,$A10,Inventory!$I$2:$I$200,$B10,Inventory!$J$2:$J$200,$C10,Inventory!$O$2:$O$200,"Listed")</x:f>
        <x:v>13</x:v>
      </x:c>
      <x:c r="F10" s="131" t="n">
        <x:f>COUNTIFS(Inventory!$G$2:$G$200,$A10,Inventory!$I$2:$I$200,$B10,Inventory!$J$2:$J$200,$C10,Inventory!$O$2:$O$200,"Call for price")</x:f>
        <x:v>0</x:v>
      </x:c>
      <x:c r="G10" s="139" t="n">
        <x:f>IF(E10=0,"",SUMIFS(Inventory!$N$2:$N$200,Inventory!$G$2:$G$200,$A10,Inventory!$I$2:$I$200,$B10,Inventory!$J$2:$J$200,$C10,Inventory!$O$2:$O$200,"Listed")/E10)</x:f>
        <x:v>77829.61538461539</x:v>
      </x:c>
      <x:c r="H10" s="139" t="n">
        <x:f>IF(E10=0,"",MINIFS(Inventory!$N$2:$N$200,Inventory!$G$2:$G$200,$A10,Inventory!$I$2:$I$200,$B10,Inventory!$J$2:$J$200,$C10,Inventory!$O$2:$O$200,"Listed"))</x:f>
        <x:v>61586</x:v>
      </x:c>
      <x:c r="I10" s="171" t="n">
        <x:f>IF(E10=0,"",MAXIFS(Inventory!$N$2:$N$200,Inventory!$G$2:$G$200,$A10,Inventory!$I$2:$I$200,$B10,Inventory!$J$2:$J$200,$C10,Inventory!$O$2:$O$200,"Listed"))</x:f>
        <x:v>90245</x:v>
      </x:c>
    </x:row>
    <x:row r="11">
      <x:c r="A11" s="48" t="str">
        <x:v>New</x:v>
      </x:c>
      <x:c r="B11" s="49" t="str">
        <x:v>Chevrolet</x:v>
      </x:c>
      <x:c r="C11" s="49" t="str">
        <x:v>Suburban</x:v>
      </x:c>
      <x:c r="D11" s="131" t="n">
        <x:f>COUNTIFS(Inventory!$G$2:$G$200,$A11,Inventory!$I$2:$I$200,$B11,Inventory!$J$2:$J$200,$C11)</x:f>
        <x:v>10</x:v>
      </x:c>
      <x:c r="E11" s="131" t="n">
        <x:f>COUNTIFS(Inventory!$G$2:$G$200,$A11,Inventory!$I$2:$I$200,$B11,Inventory!$J$2:$J$200,$C11,Inventory!$O$2:$O$200,"Listed")</x:f>
        <x:v>10</x:v>
      </x:c>
      <x:c r="F11" s="131" t="n">
        <x:f>COUNTIFS(Inventory!$G$2:$G$200,$A11,Inventory!$I$2:$I$200,$B11,Inventory!$J$2:$J$200,$C11,Inventory!$O$2:$O$200,"Call for price")</x:f>
        <x:v>0</x:v>
      </x:c>
      <x:c r="G11" s="139" t="n">
        <x:f>IF(E11=0,"",SUMIFS(Inventory!$N$2:$N$200,Inventory!$G$2:$G$200,$A11,Inventory!$I$2:$I$200,$B11,Inventory!$J$2:$J$200,$C11,Inventory!$O$2:$O$200,"Listed")/E11)</x:f>
        <x:v>79203</x:v>
      </x:c>
      <x:c r="H11" s="139" t="n">
        <x:f>IF(E11=0,"",MINIFS(Inventory!$N$2:$N$200,Inventory!$G$2:$G$200,$A11,Inventory!$I$2:$I$200,$B11,Inventory!$J$2:$J$200,$C11,Inventory!$O$2:$O$200,"Listed"))</x:f>
        <x:v>65943</x:v>
      </x:c>
      <x:c r="I11" s="171" t="n">
        <x:f>IF(E11=0,"",MAXIFS(Inventory!$N$2:$N$200,Inventory!$G$2:$G$200,$A11,Inventory!$I$2:$I$200,$B11,Inventory!$J$2:$J$200,$C11,Inventory!$O$2:$O$200,"Listed"))</x:f>
        <x:v>86830</x:v>
      </x:c>
    </x:row>
    <x:row r="12">
      <x:c r="A12" s="48" t="str">
        <x:v>New</x:v>
      </x:c>
      <x:c r="B12" s="49" t="str">
        <x:v>Chevrolet</x:v>
      </x:c>
      <x:c r="C12" s="49" t="str">
        <x:v>Trax</x:v>
      </x:c>
      <x:c r="D12" s="131" t="n">
        <x:f>COUNTIFS(Inventory!$G$2:$G$200,$A12,Inventory!$I$2:$I$200,$B12,Inventory!$J$2:$J$200,$C12)</x:f>
        <x:v>9</x:v>
      </x:c>
      <x:c r="E12" s="131" t="n">
        <x:f>COUNTIFS(Inventory!$G$2:$G$200,$A12,Inventory!$I$2:$I$200,$B12,Inventory!$J$2:$J$200,$C12,Inventory!$O$2:$O$200,"Listed")</x:f>
        <x:v>9</x:v>
      </x:c>
      <x:c r="F12" s="131" t="n">
        <x:f>COUNTIFS(Inventory!$G$2:$G$200,$A12,Inventory!$I$2:$I$200,$B12,Inventory!$J$2:$J$200,$C12,Inventory!$O$2:$O$200,"Call for price")</x:f>
        <x:v>0</x:v>
      </x:c>
      <x:c r="G12" s="139" t="n">
        <x:f>IF(E12=0,"",SUMIFS(Inventory!$N$2:$N$200,Inventory!$G$2:$G$200,$A12,Inventory!$I$2:$I$200,$B12,Inventory!$J$2:$J$200,$C12,Inventory!$O$2:$O$200,"Listed")/E12)</x:f>
        <x:v>24365.11111111111</x:v>
      </x:c>
      <x:c r="H12" s="139" t="n">
        <x:f>IF(E12=0,"",MINIFS(Inventory!$N$2:$N$200,Inventory!$G$2:$G$200,$A12,Inventory!$I$2:$I$200,$B12,Inventory!$J$2:$J$200,$C12,Inventory!$O$2:$O$200,"Listed"))</x:f>
        <x:v>22716</x:v>
      </x:c>
      <x:c r="I12" s="171" t="n">
        <x:f>IF(E12=0,"",MAXIFS(Inventory!$N$2:$N$200,Inventory!$G$2:$G$200,$A12,Inventory!$I$2:$I$200,$B12,Inventory!$J$2:$J$200,$C12,Inventory!$O$2:$O$200,"Listed"))</x:f>
        <x:v>27173</x:v>
      </x:c>
    </x:row>
    <x:row r="13">
      <x:c r="A13" s="48" t="str">
        <x:v>New</x:v>
      </x:c>
      <x:c r="B13" s="49" t="str">
        <x:v>Chevrolet</x:v>
      </x:c>
      <x:c r="C13" s="49" t="str">
        <x:v>Express Cutaway 3500</x:v>
      </x:c>
      <x:c r="D13" s="131" t="n">
        <x:f>COUNTIFS(Inventory!$G$2:$G$200,$A13,Inventory!$I$2:$I$200,$B13,Inventory!$J$2:$J$200,$C13)</x:f>
        <x:v>4</x:v>
      </x:c>
      <x:c r="E13" s="131" t="n">
        <x:f>COUNTIFS(Inventory!$G$2:$G$200,$A13,Inventory!$I$2:$I$200,$B13,Inventory!$J$2:$J$200,$C13,Inventory!$O$2:$O$200,"Listed")</x:f>
        <x:v>3</x:v>
      </x:c>
      <x:c r="F13" s="131" t="n">
        <x:f>COUNTIFS(Inventory!$G$2:$G$200,$A13,Inventory!$I$2:$I$200,$B13,Inventory!$J$2:$J$200,$C13,Inventory!$O$2:$O$200,"Call for price")</x:f>
        <x:v>1</x:v>
      </x:c>
      <x:c r="G13" s="139" t="n">
        <x:f>IF(E13=0,"",SUMIFS(Inventory!$N$2:$N$200,Inventory!$G$2:$G$200,$A13,Inventory!$I$2:$I$200,$B13,Inventory!$J$2:$J$200,$C13,Inventory!$O$2:$O$200,"Listed")/E13)</x:f>
        <x:v>44832.333333333336</x:v>
      </x:c>
      <x:c r="H13" s="139" t="n">
        <x:f>IF(E13=0,"",MINIFS(Inventory!$N$2:$N$200,Inventory!$G$2:$G$200,$A13,Inventory!$I$2:$I$200,$B13,Inventory!$J$2:$J$200,$C13,Inventory!$O$2:$O$200,"Listed"))</x:f>
        <x:v>44619</x:v>
      </x:c>
      <x:c r="I13" s="171" t="n">
        <x:f>IF(E13=0,"",MAXIFS(Inventory!$N$2:$N$200,Inventory!$G$2:$G$200,$A13,Inventory!$I$2:$I$200,$B13,Inventory!$J$2:$J$200,$C13,Inventory!$O$2:$O$200,"Listed"))</x:f>
        <x:v>44939</x:v>
      </x:c>
    </x:row>
    <x:row r="14">
      <x:c r="A14" s="48" t="str">
        <x:v>New</x:v>
      </x:c>
      <x:c r="B14" s="49" t="str">
        <x:v>Chevrolet</x:v>
      </x:c>
      <x:c r="C14" s="49" t="str">
        <x:v>Silverado 3500 HD Chassis Cab</x:v>
      </x:c>
      <x:c r="D14" s="131" t="n">
        <x:f>COUNTIFS(Inventory!$G$2:$G$200,$A14,Inventory!$I$2:$I$200,$B14,Inventory!$J$2:$J$200,$C14)</x:f>
        <x:v>3</x:v>
      </x:c>
      <x:c r="E14" s="131" t="n">
        <x:f>COUNTIFS(Inventory!$G$2:$G$200,$A14,Inventory!$I$2:$I$200,$B14,Inventory!$J$2:$J$200,$C14,Inventory!$O$2:$O$200,"Listed")</x:f>
        <x:v>3</x:v>
      </x:c>
      <x:c r="F14" s="131" t="n">
        <x:f>COUNTIFS(Inventory!$G$2:$G$200,$A14,Inventory!$I$2:$I$200,$B14,Inventory!$J$2:$J$200,$C14,Inventory!$O$2:$O$200,"Call for price")</x:f>
        <x:v>0</x:v>
      </x:c>
      <x:c r="G14" s="139" t="n">
        <x:f>IF(E14=0,"",SUMIFS(Inventory!$N$2:$N$200,Inventory!$G$2:$G$200,$A14,Inventory!$I$2:$I$200,$B14,Inventory!$J$2:$J$200,$C14,Inventory!$O$2:$O$200,"Listed")/E14)</x:f>
        <x:v>61650.666666666664</x:v>
      </x:c>
      <x:c r="H14" s="139" t="n">
        <x:f>IF(E14=0,"",MINIFS(Inventory!$N$2:$N$200,Inventory!$G$2:$G$200,$A14,Inventory!$I$2:$I$200,$B14,Inventory!$J$2:$J$200,$C14,Inventory!$O$2:$O$200,"Listed"))</x:f>
        <x:v>52042</x:v>
      </x:c>
      <x:c r="I14" s="171" t="n">
        <x:f>IF(E14=0,"",MAXIFS(Inventory!$N$2:$N$200,Inventory!$G$2:$G$200,$A14,Inventory!$I$2:$I$200,$B14,Inventory!$J$2:$J$200,$C14,Inventory!$O$2:$O$200,"Listed"))</x:f>
        <x:v>68412</x:v>
      </x:c>
    </x:row>
    <x:row r="15">
      <x:c r="A15" s="48" t="str">
        <x:v>New</x:v>
      </x:c>
      <x:c r="B15" s="49" t="str">
        <x:v>Chevrolet</x:v>
      </x:c>
      <x:c r="C15" s="49" t="str">
        <x:v>Trailblazer</x:v>
      </x:c>
      <x:c r="D15" s="131" t="n">
        <x:f>COUNTIFS(Inventory!$G$2:$G$200,$A15,Inventory!$I$2:$I$200,$B15,Inventory!$J$2:$J$200,$C15)</x:f>
        <x:v>3</x:v>
      </x:c>
      <x:c r="E15" s="131" t="n">
        <x:f>COUNTIFS(Inventory!$G$2:$G$200,$A15,Inventory!$I$2:$I$200,$B15,Inventory!$J$2:$J$200,$C15,Inventory!$O$2:$O$200,"Listed")</x:f>
        <x:v>3</x:v>
      </x:c>
      <x:c r="F15" s="131" t="n">
        <x:f>COUNTIFS(Inventory!$G$2:$G$200,$A15,Inventory!$I$2:$I$200,$B15,Inventory!$J$2:$J$200,$C15,Inventory!$O$2:$O$200,"Call for price")</x:f>
        <x:v>0</x:v>
      </x:c>
      <x:c r="G15" s="139" t="n">
        <x:f>IF(E15=0,"",SUMIFS(Inventory!$N$2:$N$200,Inventory!$G$2:$G$200,$A15,Inventory!$I$2:$I$200,$B15,Inventory!$J$2:$J$200,$C15,Inventory!$O$2:$O$200,"Listed")/E15)</x:f>
        <x:v>30597.333333333332</x:v>
      </x:c>
      <x:c r="H15" s="139" t="n">
        <x:f>IF(E15=0,"",MINIFS(Inventory!$N$2:$N$200,Inventory!$G$2:$G$200,$A15,Inventory!$I$2:$I$200,$B15,Inventory!$J$2:$J$200,$C15,Inventory!$O$2:$O$200,"Listed"))</x:f>
        <x:v>28483</x:v>
      </x:c>
      <x:c r="I15" s="171" t="n">
        <x:f>IF(E15=0,"",MAXIFS(Inventory!$N$2:$N$200,Inventory!$G$2:$G$200,$A15,Inventory!$I$2:$I$200,$B15,Inventory!$J$2:$J$200,$C15,Inventory!$O$2:$O$200,"Listed"))</x:f>
        <x:v>32035</x:v>
      </x:c>
    </x:row>
    <x:row r="16">
      <x:c r="A16" s="48" t="str">
        <x:v>New</x:v>
      </x:c>
      <x:c r="B16" s="49" t="str">
        <x:v>Chevrolet</x:v>
      </x:c>
      <x:c r="C16" s="49" t="str">
        <x:v>Silverado 3500 HD</x:v>
      </x:c>
      <x:c r="D16" s="131" t="n">
        <x:f>COUNTIFS(Inventory!$G$2:$G$200,$A16,Inventory!$I$2:$I$200,$B16,Inventory!$J$2:$J$200,$C16)</x:f>
        <x:v>2</x:v>
      </x:c>
      <x:c r="E16" s="131" t="n">
        <x:f>COUNTIFS(Inventory!$G$2:$G$200,$A16,Inventory!$I$2:$I$200,$B16,Inventory!$J$2:$J$200,$C16,Inventory!$O$2:$O$200,"Listed")</x:f>
        <x:v>2</x:v>
      </x:c>
      <x:c r="F16" s="131" t="n">
        <x:f>COUNTIFS(Inventory!$G$2:$G$200,$A16,Inventory!$I$2:$I$200,$B16,Inventory!$J$2:$J$200,$C16,Inventory!$O$2:$O$200,"Call for price")</x:f>
        <x:v>0</x:v>
      </x:c>
      <x:c r="G16" s="139" t="n">
        <x:f>IF(E16=0,"",SUMIFS(Inventory!$N$2:$N$200,Inventory!$G$2:$G$200,$A16,Inventory!$I$2:$I$200,$B16,Inventory!$J$2:$J$200,$C16,Inventory!$O$2:$O$200,"Listed")/E16)</x:f>
        <x:v>71040</x:v>
      </x:c>
      <x:c r="H16" s="139" t="n">
        <x:f>IF(E16=0,"",MINIFS(Inventory!$N$2:$N$200,Inventory!$G$2:$G$200,$A16,Inventory!$I$2:$I$200,$B16,Inventory!$J$2:$J$200,$C16,Inventory!$O$2:$O$200,"Listed"))</x:f>
        <x:v>67746</x:v>
      </x:c>
      <x:c r="I16" s="171" t="n">
        <x:f>IF(E16=0,"",MAXIFS(Inventory!$N$2:$N$200,Inventory!$G$2:$G$200,$A16,Inventory!$I$2:$I$200,$B16,Inventory!$J$2:$J$200,$C16,Inventory!$O$2:$O$200,"Listed"))</x:f>
        <x:v>74334</x:v>
      </x:c>
    </x:row>
    <x:row r="17">
      <x:c r="A17" s="48" t="str">
        <x:v>New</x:v>
      </x:c>
      <x:c r="B17" s="49" t="str">
        <x:v>Chevrolet</x:v>
      </x:c>
      <x:c r="C17" s="49" t="str">
        <x:v>Blazer</x:v>
      </x:c>
      <x:c r="D17" s="131" t="n">
        <x:f>COUNTIFS(Inventory!$G$2:$G$200,$A17,Inventory!$I$2:$I$200,$B17,Inventory!$J$2:$J$200,$C17)</x:f>
        <x:v>1</x:v>
      </x:c>
      <x:c r="E17" s="131" t="n">
        <x:f>COUNTIFS(Inventory!$G$2:$G$200,$A17,Inventory!$I$2:$I$200,$B17,Inventory!$J$2:$J$200,$C17,Inventory!$O$2:$O$200,"Listed")</x:f>
        <x:v>1</x:v>
      </x:c>
      <x:c r="F17" s="131" t="n">
        <x:f>COUNTIFS(Inventory!$G$2:$G$200,$A17,Inventory!$I$2:$I$200,$B17,Inventory!$J$2:$J$200,$C17,Inventory!$O$2:$O$200,"Call for price")</x:f>
        <x:v>0</x:v>
      </x:c>
      <x:c r="G17" s="139" t="n">
        <x:f>IF(E17=0,"",SUMIFS(Inventory!$N$2:$N$200,Inventory!$G$2:$G$200,$A17,Inventory!$I$2:$I$200,$B17,Inventory!$J$2:$J$200,$C17,Inventory!$O$2:$O$200,"Listed")/E17)</x:f>
        <x:v>53409</x:v>
      </x:c>
      <x:c r="H17" s="139" t="n">
        <x:f>IF(E17=0,"",MINIFS(Inventory!$N$2:$N$200,Inventory!$G$2:$G$200,$A17,Inventory!$I$2:$I$200,$B17,Inventory!$J$2:$J$200,$C17,Inventory!$O$2:$O$200,"Listed"))</x:f>
        <x:v>53409</x:v>
      </x:c>
      <x:c r="I17" s="171" t="n">
        <x:f>IF(E17=0,"",MAXIFS(Inventory!$N$2:$N$200,Inventory!$G$2:$G$200,$A17,Inventory!$I$2:$I$200,$B17,Inventory!$J$2:$J$200,$C17,Inventory!$O$2:$O$200,"Listed"))</x:f>
        <x:v>53409</x:v>
      </x:c>
    </x:row>
    <x:row r="18">
      <x:c r="A18" s="48" t="str">
        <x:v>New</x:v>
      </x:c>
      <x:c r="B18" s="49" t="str">
        <x:v>Chevrolet</x:v>
      </x:c>
      <x:c r="C18" s="49" t="str">
        <x:v>Corvette Grand Sport</x:v>
      </x:c>
      <x:c r="D18" s="131" t="n">
        <x:f>COUNTIFS(Inventory!$G$2:$G$200,$A18,Inventory!$I$2:$I$200,$B18,Inventory!$J$2:$J$200,$C18)</x:f>
        <x:v>1</x:v>
      </x:c>
      <x:c r="E18" s="131" t="n">
        <x:f>COUNTIFS(Inventory!$G$2:$G$200,$A18,Inventory!$I$2:$I$200,$B18,Inventory!$J$2:$J$200,$C18,Inventory!$O$2:$O$200,"Listed")</x:f>
        <x:v>1</x:v>
      </x:c>
      <x:c r="F18" s="131" t="n">
        <x:f>COUNTIFS(Inventory!$G$2:$G$200,$A18,Inventory!$I$2:$I$200,$B18,Inventory!$J$2:$J$200,$C18,Inventory!$O$2:$O$200,"Call for price")</x:f>
        <x:v>0</x:v>
      </x:c>
      <x:c r="G18" s="139" t="n">
        <x:f>IF(E18=0,"",SUMIFS(Inventory!$N$2:$N$200,Inventory!$G$2:$G$200,$A18,Inventory!$I$2:$I$200,$B18,Inventory!$J$2:$J$200,$C18,Inventory!$O$2:$O$200,"Listed")/E18)</x:f>
        <x:v>109674</x:v>
      </x:c>
      <x:c r="H18" s="139" t="n">
        <x:f>IF(E18=0,"",MINIFS(Inventory!$N$2:$N$200,Inventory!$G$2:$G$200,$A18,Inventory!$I$2:$I$200,$B18,Inventory!$J$2:$J$200,$C18,Inventory!$O$2:$O$200,"Listed"))</x:f>
        <x:v>109674</x:v>
      </x:c>
      <x:c r="I18" s="171" t="n">
        <x:f>IF(E18=0,"",MAXIFS(Inventory!$N$2:$N$200,Inventory!$G$2:$G$200,$A18,Inventory!$I$2:$I$200,$B18,Inventory!$J$2:$J$200,$C18,Inventory!$O$2:$O$200,"Listed"))</x:f>
        <x:v>109674</x:v>
      </x:c>
    </x:row>
    <x:row r="19">
      <x:c r="A19" s="48" t="str">
        <x:v>New</x:v>
      </x:c>
      <x:c r="B19" s="49" t="str">
        <x:v>Chevrolet</x:v>
      </x:c>
      <x:c r="C19" s="49" t="str">
        <x:v>Corvette Stingray</x:v>
      </x:c>
      <x:c r="D19" s="131" t="n">
        <x:f>COUNTIFS(Inventory!$G$2:$G$200,$A19,Inventory!$I$2:$I$200,$B19,Inventory!$J$2:$J$200,$C19)</x:f>
        <x:v>1</x:v>
      </x:c>
      <x:c r="E19" s="131" t="n">
        <x:f>COUNTIFS(Inventory!$G$2:$G$200,$A19,Inventory!$I$2:$I$200,$B19,Inventory!$J$2:$J$200,$C19,Inventory!$O$2:$O$200,"Listed")</x:f>
        <x:v>1</x:v>
      </x:c>
      <x:c r="F19" s="131" t="n">
        <x:f>COUNTIFS(Inventory!$G$2:$G$200,$A19,Inventory!$I$2:$I$200,$B19,Inventory!$J$2:$J$200,$C19,Inventory!$O$2:$O$200,"Call for price")</x:f>
        <x:v>0</x:v>
      </x:c>
      <x:c r="G19" s="139" t="n">
        <x:f>IF(E19=0,"",SUMIFS(Inventory!$N$2:$N$200,Inventory!$G$2:$G$200,$A19,Inventory!$I$2:$I$200,$B19,Inventory!$J$2:$J$200,$C19,Inventory!$O$2:$O$200,"Listed")/E19)</x:f>
        <x:v>81294</x:v>
      </x:c>
      <x:c r="H19" s="139" t="n">
        <x:f>IF(E19=0,"",MINIFS(Inventory!$N$2:$N$200,Inventory!$G$2:$G$200,$A19,Inventory!$I$2:$I$200,$B19,Inventory!$J$2:$J$200,$C19,Inventory!$O$2:$O$200,"Listed"))</x:f>
        <x:v>81294</x:v>
      </x:c>
      <x:c r="I19" s="171" t="n">
        <x:f>IF(E19=0,"",MAXIFS(Inventory!$N$2:$N$200,Inventory!$G$2:$G$200,$A19,Inventory!$I$2:$I$200,$B19,Inventory!$J$2:$J$200,$C19,Inventory!$O$2:$O$200,"Listed"))</x:f>
        <x:v>81294</x:v>
      </x:c>
    </x:row>
    <x:row r="20">
      <x:c r="A20" s="48" t="str">
        <x:v>New</x:v>
      </x:c>
      <x:c r="B20" s="49" t="str">
        <x:v>Chevrolet</x:v>
      </x:c>
      <x:c r="C20" s="49" t="str">
        <x:v>Express Cargo</x:v>
      </x:c>
      <x:c r="D20" s="131" t="n">
        <x:f>COUNTIFS(Inventory!$G$2:$G$200,$A20,Inventory!$I$2:$I$200,$B20,Inventory!$J$2:$J$200,$C20)</x:f>
        <x:v>1</x:v>
      </x:c>
      <x:c r="E20" s="131" t="n">
        <x:f>COUNTIFS(Inventory!$G$2:$G$200,$A20,Inventory!$I$2:$I$200,$B20,Inventory!$J$2:$J$200,$C20,Inventory!$O$2:$O$200,"Listed")</x:f>
        <x:v>1</x:v>
      </x:c>
      <x:c r="F20" s="131" t="n">
        <x:f>COUNTIFS(Inventory!$G$2:$G$200,$A20,Inventory!$I$2:$I$200,$B20,Inventory!$J$2:$J$200,$C20,Inventory!$O$2:$O$200,"Call for price")</x:f>
        <x:v>0</x:v>
      </x:c>
      <x:c r="G20" s="139" t="n">
        <x:f>IF(E20=0,"",SUMIFS(Inventory!$N$2:$N$200,Inventory!$G$2:$G$200,$A20,Inventory!$I$2:$I$200,$B20,Inventory!$J$2:$J$200,$C20,Inventory!$O$2:$O$200,"Listed")/E20)</x:f>
        <x:v>42498</x:v>
      </x:c>
      <x:c r="H20" s="139" t="n">
        <x:f>IF(E20=0,"",MINIFS(Inventory!$N$2:$N$200,Inventory!$G$2:$G$200,$A20,Inventory!$I$2:$I$200,$B20,Inventory!$J$2:$J$200,$C20,Inventory!$O$2:$O$200,"Listed"))</x:f>
        <x:v>42498</x:v>
      </x:c>
      <x:c r="I20" s="171" t="n">
        <x:f>IF(E20=0,"",MAXIFS(Inventory!$N$2:$N$200,Inventory!$G$2:$G$200,$A20,Inventory!$I$2:$I$200,$B20,Inventory!$J$2:$J$200,$C20,Inventory!$O$2:$O$200,"Listed"))</x:f>
        <x:v>42498</x:v>
      </x:c>
    </x:row>
    <x:row r="21">
      <x:c r="A21" s="48" t="str">
        <x:v>New</x:v>
      </x:c>
      <x:c r="B21" s="49" t="str">
        <x:v>Chevrolet</x:v>
      </x:c>
      <x:c r="C21" s="49" t="str">
        <x:v>Express Cutaway 4500</x:v>
      </x:c>
      <x:c r="D21" s="131" t="n">
        <x:f>COUNTIFS(Inventory!$G$2:$G$200,$A21,Inventory!$I$2:$I$200,$B21,Inventory!$J$2:$J$200,$C21)</x:f>
        <x:v>1</x:v>
      </x:c>
      <x:c r="E21" s="131" t="n">
        <x:f>COUNTIFS(Inventory!$G$2:$G$200,$A21,Inventory!$I$2:$I$200,$B21,Inventory!$J$2:$J$200,$C21,Inventory!$O$2:$O$200,"Listed")</x:f>
        <x:v>1</x:v>
      </x:c>
      <x:c r="F21" s="131" t="n">
        <x:f>COUNTIFS(Inventory!$G$2:$G$200,$A21,Inventory!$I$2:$I$200,$B21,Inventory!$J$2:$J$200,$C21,Inventory!$O$2:$O$200,"Call for price")</x:f>
        <x:v>0</x:v>
      </x:c>
      <x:c r="G21" s="139" t="n">
        <x:f>IF(E21=0,"",SUMIFS(Inventory!$N$2:$N$200,Inventory!$G$2:$G$200,$A21,Inventory!$I$2:$I$200,$B21,Inventory!$J$2:$J$200,$C21,Inventory!$O$2:$O$200,"Listed")/E21)</x:f>
        <x:v>65498</x:v>
      </x:c>
      <x:c r="H21" s="139" t="n">
        <x:f>IF(E21=0,"",MINIFS(Inventory!$N$2:$N$200,Inventory!$G$2:$G$200,$A21,Inventory!$I$2:$I$200,$B21,Inventory!$J$2:$J$200,$C21,Inventory!$O$2:$O$200,"Listed"))</x:f>
        <x:v>65498</x:v>
      </x:c>
      <x:c r="I21" s="171" t="n">
        <x:f>IF(E21=0,"",MAXIFS(Inventory!$N$2:$N$200,Inventory!$G$2:$G$200,$A21,Inventory!$I$2:$I$200,$B21,Inventory!$J$2:$J$200,$C21,Inventory!$O$2:$O$200,"Listed"))</x:f>
        <x:v>65498</x:v>
      </x:c>
    </x:row>
    <x:row r="22">
      <x:c r="A22" s="48" t="str">
        <x:v>New</x:v>
      </x:c>
      <x:c r="B22" s="49" t="str">
        <x:v>Chevrolet</x:v>
      </x:c>
      <x:c r="C22" s="49" t="str">
        <x:v>Low Cab Forward 4500 HG</x:v>
      </x:c>
      <x:c r="D22" s="131" t="n">
        <x:f>COUNTIFS(Inventory!$G$2:$G$200,$A22,Inventory!$I$2:$I$200,$B22,Inventory!$J$2:$J$200,$C22)</x:f>
        <x:v>1</x:v>
      </x:c>
      <x:c r="E22" s="131" t="n">
        <x:f>COUNTIFS(Inventory!$G$2:$G$200,$A22,Inventory!$I$2:$I$200,$B22,Inventory!$J$2:$J$200,$C22,Inventory!$O$2:$O$200,"Listed")</x:f>
        <x:v>1</x:v>
      </x:c>
      <x:c r="F22" s="131" t="n">
        <x:f>COUNTIFS(Inventory!$G$2:$G$200,$A22,Inventory!$I$2:$I$200,$B22,Inventory!$J$2:$J$200,$C22,Inventory!$O$2:$O$200,"Call for price")</x:f>
        <x:v>0</x:v>
      </x:c>
      <x:c r="G22" s="139" t="n">
        <x:f>IF(E22=0,"",SUMIFS(Inventory!$N$2:$N$200,Inventory!$G$2:$G$200,$A22,Inventory!$I$2:$I$200,$B22,Inventory!$J$2:$J$200,$C22,Inventory!$O$2:$O$200,"Listed")/E22)</x:f>
        <x:v>73748</x:v>
      </x:c>
      <x:c r="H22" s="139" t="n">
        <x:f>IF(E22=0,"",MINIFS(Inventory!$N$2:$N$200,Inventory!$G$2:$G$200,$A22,Inventory!$I$2:$I$200,$B22,Inventory!$J$2:$J$200,$C22,Inventory!$O$2:$O$200,"Listed"))</x:f>
        <x:v>73748</x:v>
      </x:c>
      <x:c r="I22" s="171" t="n">
        <x:f>IF(E22=0,"",MAXIFS(Inventory!$N$2:$N$200,Inventory!$G$2:$G$200,$A22,Inventory!$I$2:$I$200,$B22,Inventory!$J$2:$J$200,$C22,Inventory!$O$2:$O$200,"Listed"))</x:f>
        <x:v>73748</x:v>
      </x:c>
    </x:row>
    <x:row r="23">
      <x:c r="A23" s="48" t="str">
        <x:v>Used</x:v>
      </x:c>
      <x:c r="B23" s="49" t="str">
        <x:v>Ford</x:v>
      </x:c>
      <x:c r="C23" s="49" t="str">
        <x:v>Fusion</x:v>
      </x:c>
      <x:c r="D23" s="131" t="n">
        <x:f>COUNTIFS(Inventory!$G$2:$G$200,$A23,Inventory!$I$2:$I$200,$B23,Inventory!$J$2:$J$200,$C23)</x:f>
        <x:v>1</x:v>
      </x:c>
      <x:c r="E23" s="131" t="n">
        <x:f>COUNTIFS(Inventory!$G$2:$G$200,$A23,Inventory!$I$2:$I$200,$B23,Inventory!$J$2:$J$200,$C23,Inventory!$O$2:$O$200,"Listed")</x:f>
        <x:v>0</x:v>
      </x:c>
      <x:c r="F23" s="131" t="n">
        <x:f>COUNTIFS(Inventory!$G$2:$G$200,$A23,Inventory!$I$2:$I$200,$B23,Inventory!$J$2:$J$200,$C23,Inventory!$O$2:$O$200,"Call for price")</x:f>
        <x:v>1</x:v>
      </x:c>
      <x:c r="G23" s="139" t="str">
        <x:f>IF(E23=0,"",SUMIFS(Inventory!$N$2:$N$200,Inventory!$G$2:$G$200,$A23,Inventory!$I$2:$I$200,$B23,Inventory!$J$2:$J$200,$C23,Inventory!$O$2:$O$200,"Listed")/E23)</x:f>
      </x:c>
      <x:c r="H23" s="139" t="str">
        <x:f>IF(E23=0,"",MINIFS(Inventory!$N$2:$N$200,Inventory!$G$2:$G$200,$A23,Inventory!$I$2:$I$200,$B23,Inventory!$J$2:$J$200,$C23,Inventory!$O$2:$O$200,"Listed"))</x:f>
      </x:c>
      <x:c r="I23" s="171" t="str">
        <x:f>IF(E23=0,"",MAXIFS(Inventory!$N$2:$N$200,Inventory!$G$2:$G$200,$A23,Inventory!$I$2:$I$200,$B23,Inventory!$J$2:$J$200,$C23,Inventory!$O$2:$O$200,"Listed"))</x:f>
      </x:c>
    </x:row>
    <x:row r="24">
      <x:c r="A24" s="48" t="str">
        <x:v>Used</x:v>
      </x:c>
      <x:c r="B24" s="49" t="str">
        <x:v>GMC</x:v>
      </x:c>
      <x:c r="C24" s="49" t="str">
        <x:v>Sierra 2500 HD</x:v>
      </x:c>
      <x:c r="D24" s="131" t="n">
        <x:f>COUNTIFS(Inventory!$G$2:$G$200,$A24,Inventory!$I$2:$I$200,$B24,Inventory!$J$2:$J$200,$C24)</x:f>
        <x:v>1</x:v>
      </x:c>
      <x:c r="E24" s="131" t="n">
        <x:f>COUNTIFS(Inventory!$G$2:$G$200,$A24,Inventory!$I$2:$I$200,$B24,Inventory!$J$2:$J$200,$C24,Inventory!$O$2:$O$200,"Listed")</x:f>
        <x:v>1</x:v>
      </x:c>
      <x:c r="F24" s="131" t="n">
        <x:f>COUNTIFS(Inventory!$G$2:$G$200,$A24,Inventory!$I$2:$I$200,$B24,Inventory!$J$2:$J$200,$C24,Inventory!$O$2:$O$200,"Call for price")</x:f>
        <x:v>0</x:v>
      </x:c>
      <x:c r="G24" s="139" t="n">
        <x:f>IF(E24=0,"",SUMIFS(Inventory!$N$2:$N$200,Inventory!$G$2:$G$200,$A24,Inventory!$I$2:$I$200,$B24,Inventory!$J$2:$J$200,$C24,Inventory!$O$2:$O$200,"Listed")/E24)</x:f>
        <x:v>52380</x:v>
      </x:c>
      <x:c r="H24" s="139" t="n">
        <x:f>IF(E24=0,"",MINIFS(Inventory!$N$2:$N$200,Inventory!$G$2:$G$200,$A24,Inventory!$I$2:$I$200,$B24,Inventory!$J$2:$J$200,$C24,Inventory!$O$2:$O$200,"Listed"))</x:f>
        <x:v>52380</x:v>
      </x:c>
      <x:c r="I24" s="171" t="n">
        <x:f>IF(E24=0,"",MAXIFS(Inventory!$N$2:$N$200,Inventory!$G$2:$G$200,$A24,Inventory!$I$2:$I$200,$B24,Inventory!$J$2:$J$200,$C24,Inventory!$O$2:$O$200,"Listed"))</x:f>
        <x:v>52380</x:v>
      </x:c>
    </x:row>
    <x:row r="25">
      <x:c r="A25" s="48" t="str">
        <x:v>Used</x:v>
      </x:c>
      <x:c r="B25" s="49" t="str">
        <x:v>Harley-Davidson</x:v>
      </x:c>
      <x:c r="C25" s="49" t="str">
        <x:v>HERITAGE SOFT TAIL CLASSI</x:v>
      </x:c>
      <x:c r="D25" s="131" t="n">
        <x:f>COUNTIFS(Inventory!$G$2:$G$200,$A25,Inventory!$I$2:$I$200,$B25,Inventory!$J$2:$J$200,$C25)</x:f>
        <x:v>1</x:v>
      </x:c>
      <x:c r="E25" s="131" t="n">
        <x:f>COUNTIFS(Inventory!$G$2:$G$200,$A25,Inventory!$I$2:$I$200,$B25,Inventory!$J$2:$J$200,$C25,Inventory!$O$2:$O$200,"Listed")</x:f>
        <x:v>1</x:v>
      </x:c>
      <x:c r="F25" s="131" t="n">
        <x:f>COUNTIFS(Inventory!$G$2:$G$200,$A25,Inventory!$I$2:$I$200,$B25,Inventory!$J$2:$J$200,$C25,Inventory!$O$2:$O$200,"Call for price")</x:f>
        <x:v>0</x:v>
      </x:c>
      <x:c r="G25" s="139" t="n">
        <x:f>IF(E25=0,"",SUMIFS(Inventory!$N$2:$N$200,Inventory!$G$2:$G$200,$A25,Inventory!$I$2:$I$200,$B25,Inventory!$J$2:$J$200,$C25,Inventory!$O$2:$O$200,"Listed")/E25)</x:f>
        <x:v>8500</x:v>
      </x:c>
      <x:c r="H25" s="139" t="n">
        <x:f>IF(E25=0,"",MINIFS(Inventory!$N$2:$N$200,Inventory!$G$2:$G$200,$A25,Inventory!$I$2:$I$200,$B25,Inventory!$J$2:$J$200,$C25,Inventory!$O$2:$O$200,"Listed"))</x:f>
        <x:v>8500</x:v>
      </x:c>
      <x:c r="I25" s="171" t="n">
        <x:f>IF(E25=0,"",MAXIFS(Inventory!$N$2:$N$200,Inventory!$G$2:$G$200,$A25,Inventory!$I$2:$I$200,$B25,Inventory!$J$2:$J$200,$C25,Inventory!$O$2:$O$200,"Listed"))</x:f>
        <x:v>8500</x:v>
      </x:c>
    </x:row>
    <x:row r="26">
      <x:c r="A26" s="50" t="str">
        <x:v>Used</x:v>
      </x:c>
      <x:c r="B26" s="51" t="str">
        <x:v>Kia</x:v>
      </x:c>
      <x:c r="C26" s="51" t="str">
        <x:v>Sportage</x:v>
      </x:c>
      <x:c r="D26" s="293" t="n">
        <x:f>COUNTIFS(Inventory!$G$2:$G$200,$A26,Inventory!$I$2:$I$200,$B26,Inventory!$J$2:$J$200,$C26)</x:f>
        <x:v>1</x:v>
      </x:c>
      <x:c r="E26" s="293" t="n">
        <x:f>COUNTIFS(Inventory!$G$2:$G$200,$A26,Inventory!$I$2:$I$200,$B26,Inventory!$J$2:$J$200,$C26,Inventory!$O$2:$O$200,"Listed")</x:f>
        <x:v>1</x:v>
      </x:c>
      <x:c r="F26" s="293" t="n">
        <x:f>COUNTIFS(Inventory!$G$2:$G$200,$A26,Inventory!$I$2:$I$200,$B26,Inventory!$J$2:$J$200,$C26,Inventory!$O$2:$O$200,"Call for price")</x:f>
        <x:v>0</x:v>
      </x:c>
      <x:c r="G26" s="295" t="n">
        <x:f>IF(E26=0,"",SUMIFS(Inventory!$N$2:$N$200,Inventory!$G$2:$G$200,$A26,Inventory!$I$2:$I$200,$B26,Inventory!$J$2:$J$200,$C26,Inventory!$O$2:$O$200,"Listed")/E26)</x:f>
        <x:v>38955</x:v>
      </x:c>
      <x:c r="H26" s="295" t="n">
        <x:f>IF(E26=0,"",MINIFS(Inventory!$N$2:$N$200,Inventory!$G$2:$G$200,$A26,Inventory!$I$2:$I$200,$B26,Inventory!$J$2:$J$200,$C26,Inventory!$O$2:$O$200,"Listed"))</x:f>
        <x:v>38955</x:v>
      </x:c>
      <x:c r="I26" s="172" t="n">
        <x:f>IF(E26=0,"",MAXIFS(Inventory!$N$2:$N$200,Inventory!$G$2:$G$200,$A26,Inventory!$I$2:$I$200,$B26,Inventory!$J$2:$J$200,$C26,Inventory!$O$2:$O$200,"Listed"))</x:f>
        <x:v>38955</x:v>
      </x:c>
    </x:row>
  </x:sheetData>
  <x:mergeCells>
    <x:mergeCell ref="A1:I2"/>
  </x:mergeCells>
  <x:conditionalFormatting sqref="F5:F26">
    <x:cfRule type="expression" dxfId="2" priority="1">
      <x:formula>F5&gt;0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5abeeff44834fda"/>
  </x:tableParts>
</x:worksheet>
</file>