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83863244424dd2" /></Relationships>
</file>

<file path=xl/workbook.xml><?xml version="1.0" encoding="utf-8"?>
<x:workbook xmlns:x="http://schemas.openxmlformats.org/spreadsheetml/2006/main">
  <x:sheets>
    <x:sheet xmlns:r="http://schemas.openxmlformats.org/officeDocument/2006/relationships" name="README" sheetId="1" r:id="R0133f626dd774d53"/>
    <x:sheet xmlns:r="http://schemas.openxmlformats.org/officeDocument/2006/relationships" name="Summary" sheetId="2" r:id="R768d7d2a0e374c4c"/>
    <x:sheet xmlns:r="http://schemas.openxmlformats.org/officeDocument/2006/relationships" name="Inventory" sheetId="3" r:id="Rb6013546c40a4e57"/>
    <x:sheet xmlns:r="http://schemas.openxmlformats.org/officeDocument/2006/relationships" name="Model Summary" sheetId="4" r:id="Raf0fc25fa9b0429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0"/>
    <x:numFmt numFmtId="203" formatCode="$#,##0"/>
    <x:numFmt numFmtId="204" formatCode="0.0%"/>
  </x:numFmts>
  <x:fonts count="8">
    <x:font>
      <x:sz val="11"/>
      <x:name val="Carlito"/>
    </x:font>
    <x:font>
      <x:b/>
      <x:sz val="20"/>
      <x:color rgb="FFFFFFFF"/>
      <x:name val="Carlito"/>
    </x:font>
    <x:font>
      <x:b/>
      <x:sz val="11"/>
      <x:color rgb="FF123047"/>
      <x:name val="Carlito"/>
    </x:font>
    <x:font>
      <x:b/>
      <x:sz val="12"/>
      <x:color rgb="FFFFFFFF"/>
      <x:name val="Carlito"/>
    </x:font>
    <x:font>
      <x:b/>
      <x:sz val="10"/>
      <x:color rgb="FFFFFFFF"/>
      <x:name val="Carlito"/>
    </x:font>
    <x:font>
      <x:i/>
      <x:sz val="11"/>
      <x:color rgb="FF123047"/>
      <x:name val="Carlito"/>
    </x:font>
    <x:font>
      <x:sz val="11"/>
      <x:color rgb="FF123047"/>
      <x:name val="Carlito"/>
    </x:font>
    <x:font>
      <x:i/>
      <x:sz val="11"/>
      <x:color rgb="FF45545F"/>
      <x:name val="Carlito"/>
    </x:font>
  </x:fonts>
  <x:fills count="8">
    <x:fill>
      <x:patternFill patternType="none"/>
    </x:fill>
    <x:fill>
      <x:patternFill patternType="gray125"/>
    </x:fill>
    <x:fill>
      <x:patternFill patternType="solid">
        <x:fgColor rgb="FF123047"/>
      </x:patternFill>
    </x:fill>
    <x:fill>
      <x:patternFill patternType="solid">
        <x:fgColor rgb="FFEAF4F8"/>
      </x:patternFill>
    </x:fill>
    <x:fill>
      <x:patternFill patternType="solid">
        <x:fgColor rgb="FF0A6C8B"/>
      </x:patternFill>
    </x:fill>
    <x:fill>
      <x:patternFill patternType="solid">
        <x:fgColor rgb="FFFFF3D6"/>
      </x:patternFill>
    </x:fill>
    <x:fill>
      <x:patternFill patternType="solid">
        <x:fgColor rgb="FFDCEFF5"/>
      </x:patternFill>
    </x:fill>
    <x:fill>
      <x:patternFill patternType="solid">
        <x:fgColor rgb="FFF5F8FA"/>
      </x:patternFill>
    </x:fill>
  </x:fills>
  <x:borders count="24">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
      <x:left/>
      <x:top/>
      <x:bottom/>
    </x:border>
    <x:border>
      <x:right/>
      <x:top/>
      <x:bottom/>
    </x:border>
    <x:border>
      <x:left/>
      <x:top/>
      <x:bottom/>
    </x:border>
    <x:border>
      <x:right/>
      <x:top/>
      <x:bottom/>
    </x:border>
    <x:border>
      <x:bottom/>
    </x:border>
    <x:border>
      <x:bottom/>
    </x:border>
  </x:borders>
  <x:cellStyleXfs count="1">
    <x:xf numFmtId="0" fontId="0" fillId="0" borderId="0"/>
  </x:cellStyleXfs>
  <x:cellXfs count="3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2" fillId="3" borderId="2" xfId="0" applyNumberFormat="1" applyFont="1" applyFill="1" applyBorder="1" applyAlignment="1">
      <x:alignment vertical="center"/>
    </x:xf>
    <x:xf numFmtId="0" fontId="0" fillId="0" borderId="3" xfId="0" applyNumberFormat="1" applyFont="1" applyFill="1" applyBorder="1"/>
    <x:xf numFmtId="0" fontId="2" fillId="3" borderId="4" xfId="0" applyNumberFormat="1" applyFont="1" applyFill="1" applyBorder="1" applyAlignment="1">
      <x:alignment vertical="center"/>
    </x:xf>
    <x:xf numFmtId="0" fontId="0" fillId="0" borderId="5" xfId="0" applyNumberFormat="1" applyFont="1" applyFill="1" applyBorder="1"/>
    <x:xf numFmtId="0" fontId="2" fillId="3" borderId="6" xfId="0" applyNumberFormat="1" applyFont="1" applyFill="1" applyBorder="1" applyAlignment="1">
      <x:alignment vertical="center"/>
    </x:xf>
    <x:xf numFmtId="0" fontId="0" fillId="0" borderId="7" xfId="0" applyNumberFormat="1" applyFont="1" applyFill="1" applyBorder="1"/>
    <x:xf numFmtId="0" fontId="2" fillId="3" borderId="8" xfId="0" applyNumberFormat="1" applyFont="1" applyFill="1" applyBorder="1" applyAlignment="1">
      <x:alignment vertical="center"/>
    </x:xf>
    <x:xf numFmtId="0" fontId="0" fillId="0" borderId="9" xfId="0" applyNumberFormat="1" applyFont="1" applyFill="1" applyBorder="1"/>
    <x:xf numFmtId="0" fontId="2" fillId="3" borderId="10" xfId="0" applyNumberFormat="1" applyFont="1" applyFill="1" applyBorder="1" applyAlignment="1">
      <x:alignment vertical="center"/>
    </x:xf>
    <x:xf numFmtId="0" fontId="0" fillId="0" borderId="11" xfId="0" applyNumberFormat="1" applyFont="1" applyFill="1" applyBorder="1"/>
    <x:xf numFmtId="0" fontId="2" fillId="3" borderId="12" xfId="0" applyNumberFormat="1" applyFont="1" applyFill="1" applyBorder="1" applyAlignment="1">
      <x:alignment vertical="center"/>
    </x:xf>
    <x:xf numFmtId="0" fontId="0" fillId="0" borderId="13" xfId="0" applyNumberFormat="1" applyFont="1" applyFill="1" applyBorder="1"/>
    <x:xf numFmtId="200" fontId="0" fillId="0" borderId="5" xfId="0" applyNumberFormat="1" applyFont="1" applyFill="1" applyBorder="1"/>
    <x:xf numFmtId="200" fontId="0" fillId="0" borderId="1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14" xfId="0" applyNumberFormat="1" applyFont="1" applyFill="1" applyBorder="1"/>
    <x:xf numFmtId="0" fontId="0" fillId="0" borderId="4"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15" xfId="0" applyNumberFormat="1" applyFont="1" applyFill="1" applyBorder="1"/>
    <x:xf numFmtId="0" fontId="0" fillId="0" borderId="8" xfId="0" applyNumberFormat="1" applyFont="1" applyFill="1" applyBorder="1"/>
    <x:xf numFmtId="0" fontId="0" fillId="0" borderId="16" xfId="0" applyNumberFormat="1" applyFont="1" applyFill="1" applyBorder="1"/>
    <x:xf numFmtId="0" fontId="0" fillId="0" borderId="10" xfId="0" applyNumberFormat="1" applyFont="1" applyFill="1" applyBorder="1"/>
    <x:xf numFmtId="0" fontId="0" fillId="0" borderId="12" xfId="0" applyNumberFormat="1" applyFont="1" applyFill="1" applyBorder="1"/>
    <x:xf numFmtId="0" fontId="0" fillId="0" borderId="17" xfId="0" applyNumberFormat="1" applyFont="1" applyFill="1" applyBorder="1"/>
    <x:xf numFmtId="0" fontId="0" fillId="0" borderId="14"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3"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14"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15" xfId="0" applyNumberFormat="1" applyFont="1" applyFill="1" applyBorder="1"/>
    <x:xf numFmtId="0" fontId="5" fillId="5" borderId="7" xfId="0" applyNumberFormat="1" applyFont="1" applyFill="1" applyBorder="1"/>
    <x:xf numFmtId="0" fontId="5" fillId="5" borderId="2" xfId="0" applyNumberFormat="1" applyFont="1" applyFill="1" applyBorder="1" applyAlignment="1">
      <x:alignment wrapText="1"/>
    </x:xf>
    <x:xf numFmtId="0" fontId="5" fillId="5" borderId="14"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5"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15"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2" xfId="0" applyNumberFormat="1" applyFont="1" applyFill="1" applyBorder="1" applyAlignment="1">
      <x:alignment vertical="center" wrapText="1"/>
    </x:xf>
    <x:xf numFmtId="0" fontId="5" fillId="5" borderId="14" xfId="0" applyNumberFormat="1" applyFont="1" applyFill="1" applyBorder="1" applyAlignment="1">
      <x:alignment vertical="center" wrapText="1"/>
    </x:xf>
    <x:xf numFmtId="0" fontId="5" fillId="5" borderId="3" xfId="0" applyNumberFormat="1" applyFont="1" applyFill="1" applyBorder="1" applyAlignment="1">
      <x:alignment vertical="center" wrapText="1"/>
    </x:xf>
    <x:xf numFmtId="0" fontId="5" fillId="5" borderId="4"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5" xfId="0" applyNumberFormat="1" applyFont="1" applyFill="1" applyBorder="1" applyAlignment="1">
      <x:alignment vertical="center" wrapText="1"/>
    </x:xf>
    <x:xf numFmtId="0" fontId="5" fillId="5" borderId="6" xfId="0" applyNumberFormat="1" applyFont="1" applyFill="1" applyBorder="1" applyAlignment="1">
      <x:alignment vertical="center" wrapText="1"/>
    </x:xf>
    <x:xf numFmtId="0" fontId="5" fillId="5" borderId="15" xfId="0" applyNumberFormat="1" applyFont="1" applyFill="1" applyBorder="1" applyAlignment="1">
      <x:alignment vertical="center" wrapText="1"/>
    </x:xf>
    <x:xf numFmtId="0" fontId="5" fillId="5" borderId="7"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8" xfId="0" applyNumberFormat="1" applyFont="1" applyFill="1" applyBorder="1"/>
    <x:xf numFmtId="0" fontId="5" fillId="5" borderId="16" xfId="0" applyNumberFormat="1" applyFont="1" applyFill="1" applyBorder="1"/>
    <x:xf numFmtId="0" fontId="5" fillId="5" borderId="9" xfId="0" applyNumberFormat="1" applyFont="1" applyFill="1" applyBorder="1"/>
    <x:xf numFmtId="0" fontId="5" fillId="5" borderId="10" xfId="0" applyNumberFormat="1" applyFont="1" applyFill="1" applyBorder="1"/>
    <x:xf numFmtId="0" fontId="5" fillId="5" borderId="11" xfId="0" applyNumberFormat="1" applyFont="1" applyFill="1" applyBorder="1"/>
    <x:xf numFmtId="0" fontId="5" fillId="5" borderId="12" xfId="0" applyNumberFormat="1" applyFont="1" applyFill="1" applyBorder="1"/>
    <x:xf numFmtId="0" fontId="5" fillId="5" borderId="17" xfId="0" applyNumberFormat="1" applyFont="1" applyFill="1" applyBorder="1"/>
    <x:xf numFmtId="0" fontId="5" fillId="5" borderId="13" xfId="0" applyNumberFormat="1" applyFont="1" applyFill="1" applyBorder="1"/>
    <x:xf numFmtId="0" fontId="5" fillId="5" borderId="8" xfId="0" applyNumberFormat="1" applyFont="1" applyFill="1" applyBorder="1" applyAlignment="1">
      <x:alignment wrapText="1"/>
    </x:xf>
    <x:xf numFmtId="0" fontId="5" fillId="5" borderId="16" xfId="0" applyNumberFormat="1" applyFont="1" applyFill="1" applyBorder="1" applyAlignment="1">
      <x:alignment wrapText="1"/>
    </x:xf>
    <x:xf numFmtId="0" fontId="5" fillId="5" borderId="9" xfId="0" applyNumberFormat="1" applyFont="1" applyFill="1" applyBorder="1" applyAlignment="1">
      <x:alignment wrapText="1"/>
    </x:xf>
    <x:xf numFmtId="0" fontId="5" fillId="5" borderId="10" xfId="0" applyNumberFormat="1" applyFont="1" applyFill="1" applyBorder="1" applyAlignment="1">
      <x:alignment wrapText="1"/>
    </x:xf>
    <x:xf numFmtId="0" fontId="5" fillId="5" borderId="1" xfId="0" applyNumberFormat="1" applyFont="1" applyFill="1" applyBorder="1" applyAlignment="1">
      <x:alignment wrapText="1"/>
    </x:xf>
    <x:xf numFmtId="0" fontId="5" fillId="5" borderId="11" xfId="0" applyNumberFormat="1" applyFont="1" applyFill="1" applyBorder="1" applyAlignment="1">
      <x:alignment wrapText="1"/>
    </x:xf>
    <x:xf numFmtId="0" fontId="5" fillId="5" borderId="12" xfId="0" applyNumberFormat="1" applyFont="1" applyFill="1" applyBorder="1" applyAlignment="1">
      <x:alignment wrapText="1"/>
    </x:xf>
    <x:xf numFmtId="0" fontId="5" fillId="5" borderId="17" xfId="0" applyNumberFormat="1" applyFont="1" applyFill="1" applyBorder="1" applyAlignment="1">
      <x:alignment wrapText="1"/>
    </x:xf>
    <x:xf numFmtId="0" fontId="5" fillId="5" borderId="13" xfId="0" applyNumberFormat="1" applyFont="1" applyFill="1" applyBorder="1" applyAlignment="1">
      <x:alignment wrapText="1"/>
    </x:xf>
    <x:xf numFmtId="0" fontId="5" fillId="5" borderId="8" xfId="0" applyNumberFormat="1" applyFont="1" applyFill="1" applyBorder="1" applyAlignment="1">
      <x:alignment vertical="center" wrapText="1"/>
    </x:xf>
    <x:xf numFmtId="0" fontId="5" fillId="5" borderId="16" xfId="0" applyNumberFormat="1" applyFont="1" applyFill="1" applyBorder="1" applyAlignment="1">
      <x:alignment vertical="center" wrapText="1"/>
    </x:xf>
    <x:xf numFmtId="0" fontId="5" fillId="5" borderId="9" xfId="0" applyNumberFormat="1" applyFont="1" applyFill="1" applyBorder="1" applyAlignment="1">
      <x:alignment vertical="center" wrapText="1"/>
    </x:xf>
    <x:xf numFmtId="0" fontId="5" fillId="5" borderId="10"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5" fillId="5" borderId="11" xfId="0" applyNumberFormat="1" applyFont="1" applyFill="1" applyBorder="1" applyAlignment="1">
      <x:alignment vertical="center" wrapText="1"/>
    </x:xf>
    <x:xf numFmtId="0" fontId="5" fillId="5" borderId="12" xfId="0" applyNumberFormat="1" applyFont="1" applyFill="1" applyBorder="1" applyAlignment="1">
      <x:alignment vertical="center" wrapText="1"/>
    </x:xf>
    <x:xf numFmtId="0" fontId="5" fillId="5" borderId="17" xfId="0" applyNumberFormat="1" applyFont="1" applyFill="1" applyBorder="1" applyAlignment="1">
      <x:alignment vertical="center" wrapText="1"/>
    </x:xf>
    <x:xf numFmtId="0" fontId="5" fillId="5" borderId="13"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2" xfId="0" applyNumberFormat="1" applyFont="1" applyFill="1" applyBorder="1"/>
    <x:xf numFmtId="0" fontId="6" fillId="6" borderId="14" xfId="0" applyNumberFormat="1" applyFont="1" applyFill="1" applyBorder="1"/>
    <x:xf numFmtId="0" fontId="6" fillId="6" borderId="3" xfId="0" applyNumberFormat="1" applyFont="1" applyFill="1" applyBorder="1"/>
    <x:xf numFmtId="0" fontId="6" fillId="6" borderId="4" xfId="0" applyNumberFormat="1" applyFont="1" applyFill="1" applyBorder="1"/>
    <x:xf numFmtId="0" fontId="6" fillId="6" borderId="5" xfId="0" applyNumberFormat="1" applyFont="1" applyFill="1" applyBorder="1"/>
    <x:xf numFmtId="0" fontId="6" fillId="6" borderId="6" xfId="0" applyNumberFormat="1" applyFont="1" applyFill="1" applyBorder="1"/>
    <x:xf numFmtId="0" fontId="6" fillId="6" borderId="15" xfId="0" applyNumberFormat="1" applyFont="1" applyFill="1" applyBorder="1"/>
    <x:xf numFmtId="0" fontId="6" fillId="6" borderId="7" xfId="0" applyNumberFormat="1" applyFont="1" applyFill="1" applyBorder="1"/>
    <x:xf numFmtId="0" fontId="6" fillId="6" borderId="2" xfId="0" applyNumberFormat="1" applyFont="1" applyFill="1" applyBorder="1" applyAlignment="1">
      <x:alignment wrapText="1"/>
    </x:xf>
    <x:xf numFmtId="0" fontId="6" fillId="6" borderId="14" xfId="0" applyNumberFormat="1" applyFont="1" applyFill="1" applyBorder="1" applyAlignment="1">
      <x:alignment wrapText="1"/>
    </x:xf>
    <x:xf numFmtId="0" fontId="6" fillId="6" borderId="3" xfId="0" applyNumberFormat="1" applyFont="1" applyFill="1" applyBorder="1" applyAlignment="1">
      <x:alignment wrapText="1"/>
    </x:xf>
    <x:xf numFmtId="0" fontId="6" fillId="6" borderId="4"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5" xfId="0" applyNumberFormat="1" applyFont="1" applyFill="1" applyBorder="1" applyAlignment="1">
      <x:alignment wrapText="1"/>
    </x:xf>
    <x:xf numFmtId="0" fontId="6" fillId="6" borderId="6" xfId="0" applyNumberFormat="1" applyFont="1" applyFill="1" applyBorder="1" applyAlignment="1">
      <x:alignment wrapText="1"/>
    </x:xf>
    <x:xf numFmtId="0" fontId="6" fillId="6" borderId="15" xfId="0" applyNumberFormat="1" applyFont="1" applyFill="1" applyBorder="1" applyAlignment="1">
      <x:alignment wrapText="1"/>
    </x:xf>
    <x:xf numFmtId="0" fontId="6" fillId="6" borderId="7" xfId="0" applyNumberFormat="1" applyFont="1" applyFill="1" applyBorder="1" applyAlignment="1">
      <x:alignment wrapText="1"/>
    </x:xf>
    <x:xf numFmtId="0" fontId="6" fillId="6" borderId="2" xfId="0" applyNumberFormat="1" applyFont="1" applyFill="1" applyBorder="1" applyAlignment="1">
      <x:alignment vertical="center" wrapText="1"/>
    </x:xf>
    <x:xf numFmtId="0" fontId="6" fillId="6" borderId="14" xfId="0" applyNumberFormat="1" applyFont="1" applyFill="1" applyBorder="1" applyAlignment="1">
      <x:alignment vertical="center" wrapText="1"/>
    </x:xf>
    <x:xf numFmtId="0" fontId="6" fillId="6" borderId="3" xfId="0" applyNumberFormat="1" applyFont="1" applyFill="1" applyBorder="1" applyAlignment="1">
      <x:alignment vertical="center" wrapText="1"/>
    </x:xf>
    <x:xf numFmtId="0" fontId="6" fillId="6" borderId="4"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6" fillId="6" borderId="5" xfId="0" applyNumberFormat="1" applyFont="1" applyFill="1" applyBorder="1" applyAlignment="1">
      <x:alignment vertical="center" wrapText="1"/>
    </x:xf>
    <x:xf numFmtId="0" fontId="6" fillId="6" borderId="6" xfId="0" applyNumberFormat="1" applyFont="1" applyFill="1" applyBorder="1" applyAlignment="1">
      <x:alignment vertical="center" wrapText="1"/>
    </x:xf>
    <x:xf numFmtId="0" fontId="6" fillId="6" borderId="15" xfId="0" applyNumberFormat="1" applyFont="1" applyFill="1" applyBorder="1" applyAlignment="1">
      <x:alignment vertical="center" wrapText="1"/>
    </x:xf>
    <x:xf numFmtId="0" fontId="6" fillId="6" borderId="7"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8" xfId="0" applyNumberFormat="1" applyFont="1" applyFill="1" applyBorder="1"/>
    <x:xf numFmtId="0" fontId="6" fillId="6" borderId="16" xfId="0" applyNumberFormat="1" applyFont="1" applyFill="1" applyBorder="1"/>
    <x:xf numFmtId="0" fontId="6" fillId="6" borderId="9" xfId="0" applyNumberFormat="1" applyFont="1" applyFill="1" applyBorder="1"/>
    <x:xf numFmtId="0" fontId="6" fillId="6" borderId="10" xfId="0" applyNumberFormat="1" applyFont="1" applyFill="1" applyBorder="1"/>
    <x:xf numFmtId="0" fontId="6" fillId="6" borderId="11" xfId="0" applyNumberFormat="1" applyFont="1" applyFill="1" applyBorder="1"/>
    <x:xf numFmtId="0" fontId="6" fillId="6" borderId="12" xfId="0" applyNumberFormat="1" applyFont="1" applyFill="1" applyBorder="1"/>
    <x:xf numFmtId="0" fontId="6" fillId="6" borderId="17" xfId="0" applyNumberFormat="1" applyFont="1" applyFill="1" applyBorder="1"/>
    <x:xf numFmtId="0" fontId="6" fillId="6" borderId="13" xfId="0" applyNumberFormat="1" applyFont="1" applyFill="1" applyBorder="1"/>
    <x:xf numFmtId="0" fontId="6" fillId="6" borderId="8" xfId="0" applyNumberFormat="1" applyFont="1" applyFill="1" applyBorder="1" applyAlignment="1">
      <x:alignment wrapText="1"/>
    </x:xf>
    <x:xf numFmtId="0" fontId="6" fillId="6" borderId="16" xfId="0" applyNumberFormat="1" applyFont="1" applyFill="1" applyBorder="1" applyAlignment="1">
      <x:alignment wrapText="1"/>
    </x:xf>
    <x:xf numFmtId="0" fontId="6" fillId="6" borderId="9" xfId="0" applyNumberFormat="1" applyFont="1" applyFill="1" applyBorder="1" applyAlignment="1">
      <x:alignment wrapText="1"/>
    </x:xf>
    <x:xf numFmtId="0" fontId="6" fillId="6" borderId="10" xfId="0" applyNumberFormat="1" applyFont="1" applyFill="1" applyBorder="1" applyAlignment="1">
      <x:alignment wrapText="1"/>
    </x:xf>
    <x:xf numFmtId="0" fontId="6" fillId="6" borderId="1" xfId="0" applyNumberFormat="1" applyFont="1" applyFill="1" applyBorder="1" applyAlignment="1">
      <x:alignment wrapText="1"/>
    </x:xf>
    <x:xf numFmtId="0" fontId="6" fillId="6" borderId="11" xfId="0" applyNumberFormat="1" applyFont="1" applyFill="1" applyBorder="1" applyAlignment="1">
      <x:alignment wrapText="1"/>
    </x:xf>
    <x:xf numFmtId="0" fontId="6" fillId="6" borderId="12" xfId="0" applyNumberFormat="1" applyFont="1" applyFill="1" applyBorder="1" applyAlignment="1">
      <x:alignment wrapText="1"/>
    </x:xf>
    <x:xf numFmtId="0" fontId="6" fillId="6" borderId="17" xfId="0" applyNumberFormat="1" applyFont="1" applyFill="1" applyBorder="1" applyAlignment="1">
      <x:alignment wrapText="1"/>
    </x:xf>
    <x:xf numFmtId="0" fontId="6" fillId="6" borderId="13" xfId="0" applyNumberFormat="1" applyFont="1" applyFill="1" applyBorder="1" applyAlignment="1">
      <x:alignment wrapText="1"/>
    </x:xf>
    <x:xf numFmtId="0" fontId="6" fillId="6" borderId="8" xfId="0" applyNumberFormat="1" applyFont="1" applyFill="1" applyBorder="1" applyAlignment="1">
      <x:alignment vertical="center" wrapText="1"/>
    </x:xf>
    <x:xf numFmtId="0" fontId="6" fillId="6" borderId="16" xfId="0" applyNumberFormat="1" applyFont="1" applyFill="1" applyBorder="1" applyAlignment="1">
      <x:alignment vertical="center" wrapText="1"/>
    </x:xf>
    <x:xf numFmtId="0" fontId="6" fillId="6" borderId="9" xfId="0" applyNumberFormat="1" applyFont="1" applyFill="1" applyBorder="1" applyAlignment="1">
      <x:alignment vertical="center" wrapText="1"/>
    </x:xf>
    <x:xf numFmtId="0" fontId="6" fillId="6" borderId="10"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6" fillId="6" borderId="11" xfId="0" applyNumberFormat="1" applyFont="1" applyFill="1" applyBorder="1" applyAlignment="1">
      <x:alignment vertical="center" wrapText="1"/>
    </x:xf>
    <x:xf numFmtId="0" fontId="6" fillId="6" borderId="12" xfId="0" applyNumberFormat="1" applyFont="1" applyFill="1" applyBorder="1" applyAlignment="1">
      <x:alignment vertical="center" wrapText="1"/>
    </x:xf>
    <x:xf numFmtId="0" fontId="6" fillId="6" borderId="17" xfId="0" applyNumberFormat="1" applyFont="1" applyFill="1" applyBorder="1" applyAlignment="1">
      <x:alignment vertical="center" wrapText="1"/>
    </x:xf>
    <x:xf numFmtId="0" fontId="6" fillId="6" borderId="13" xfId="0" applyNumberFormat="1" applyFont="1" applyFill="1" applyBorder="1" applyAlignment="1">
      <x:alignment vertical="center" wrapText="1"/>
    </x:xf>
    <x:xf numFmtId="0" fontId="2" fillId="3" borderId="18" xfId="0" applyNumberFormat="1" applyFont="1" applyFill="1" applyBorder="1" applyAlignment="1">
      <x:alignment vertical="center"/>
    </x:xf>
    <x:xf numFmtId="0" fontId="0" fillId="0" borderId="19" xfId="0" applyNumberFormat="1" applyFont="1" applyFill="1" applyBorder="1"/>
    <x:xf numFmtId="0" fontId="2" fillId="3" borderId="20" xfId="0" applyNumberFormat="1" applyFont="1" applyFill="1" applyBorder="1" applyAlignment="1">
      <x:alignment vertical="center"/>
    </x:xf>
    <x:xf numFmtId="0" fontId="0" fillId="0" borderId="21" xfId="0" applyNumberFormat="1" applyFont="1" applyFill="1" applyBorder="1"/>
    <x:xf numFmtId="0" fontId="0" fillId="0" borderId="19" xfId="0" applyNumberFormat="1" applyFont="1" applyFill="1" applyBorder="1" applyAlignment="1">
      <x:alignment wrapText="1"/>
    </x:xf>
    <x:xf numFmtId="0" fontId="0" fillId="0" borderId="21"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2" xfId="0" applyNumberFormat="1" applyFont="1" applyFill="1" applyBorder="1"/>
    <x:xf numFmtId="0" fontId="7" fillId="7" borderId="14" xfId="0" applyNumberFormat="1" applyFont="1" applyFill="1" applyBorder="1"/>
    <x:xf numFmtId="0" fontId="7" fillId="7" borderId="3" xfId="0" applyNumberFormat="1" applyFont="1" applyFill="1" applyBorder="1"/>
    <x:xf numFmtId="0" fontId="7" fillId="7" borderId="4" xfId="0" applyNumberFormat="1" applyFont="1" applyFill="1" applyBorder="1"/>
    <x:xf numFmtId="0" fontId="7" fillId="7" borderId="5" xfId="0" applyNumberFormat="1" applyFont="1" applyFill="1" applyBorder="1"/>
    <x:xf numFmtId="0" fontId="7" fillId="7" borderId="6" xfId="0" applyNumberFormat="1" applyFont="1" applyFill="1" applyBorder="1"/>
    <x:xf numFmtId="0" fontId="7" fillId="7" borderId="15" xfId="0" applyNumberFormat="1" applyFont="1" applyFill="1" applyBorder="1"/>
    <x:xf numFmtId="0" fontId="7" fillId="7" borderId="7" xfId="0" applyNumberFormat="1" applyFont="1" applyFill="1" applyBorder="1"/>
    <x:xf numFmtId="0" fontId="7" fillId="7" borderId="2" xfId="0" applyNumberFormat="1" applyFont="1" applyFill="1" applyBorder="1" applyAlignment="1">
      <x:alignment wrapText="1"/>
    </x:xf>
    <x:xf numFmtId="0" fontId="7" fillId="7" borderId="14" xfId="0" applyNumberFormat="1" applyFont="1" applyFill="1" applyBorder="1" applyAlignment="1">
      <x:alignment wrapText="1"/>
    </x:xf>
    <x:xf numFmtId="0" fontId="7" fillId="7" borderId="3" xfId="0" applyNumberFormat="1" applyFont="1" applyFill="1" applyBorder="1" applyAlignment="1">
      <x:alignment wrapText="1"/>
    </x:xf>
    <x:xf numFmtId="0" fontId="7" fillId="7" borderId="4" xfId="0" applyNumberFormat="1" applyFont="1" applyFill="1" applyBorder="1" applyAlignment="1">
      <x:alignment wrapText="1"/>
    </x:xf>
    <x:xf numFmtId="0" fontId="7" fillId="7" borderId="0" xfId="0" applyNumberFormat="1" applyFont="1" applyFill="1" applyBorder="1" applyAlignment="1">
      <x:alignment wrapText="1"/>
    </x:xf>
    <x:xf numFmtId="0" fontId="7" fillId="7" borderId="5" xfId="0" applyNumberFormat="1" applyFont="1" applyFill="1" applyBorder="1" applyAlignment="1">
      <x:alignment wrapText="1"/>
    </x:xf>
    <x:xf numFmtId="0" fontId="7" fillId="7" borderId="6" xfId="0" applyNumberFormat="1" applyFont="1" applyFill="1" applyBorder="1" applyAlignment="1">
      <x:alignment wrapText="1"/>
    </x:xf>
    <x:xf numFmtId="0" fontId="7" fillId="7" borderId="15" xfId="0" applyNumberFormat="1" applyFont="1" applyFill="1" applyBorder="1" applyAlignment="1">
      <x:alignment wrapText="1"/>
    </x:xf>
    <x:xf numFmtId="0" fontId="7" fillId="7" borderId="7" xfId="0" applyNumberFormat="1" applyFont="1" applyFill="1" applyBorder="1" applyAlignment="1">
      <x:alignment wrapText="1"/>
    </x:xf>
    <x:xf numFmtId="0" fontId="7" fillId="7" borderId="2" xfId="0" applyNumberFormat="1" applyFont="1" applyFill="1" applyBorder="1" applyAlignment="1">
      <x:alignment vertical="center" wrapText="1"/>
    </x:xf>
    <x:xf numFmtId="0" fontId="7" fillId="7" borderId="14" xfId="0" applyNumberFormat="1" applyFont="1" applyFill="1" applyBorder="1" applyAlignment="1">
      <x:alignment vertical="center" wrapText="1"/>
    </x:xf>
    <x:xf numFmtId="0" fontId="7" fillId="7" borderId="3" xfId="0" applyNumberFormat="1" applyFont="1" applyFill="1" applyBorder="1" applyAlignment="1">
      <x:alignment vertical="center" wrapText="1"/>
    </x:xf>
    <x:xf numFmtId="0" fontId="7" fillId="7" borderId="4"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7" fillId="7" borderId="5" xfId="0" applyNumberFormat="1" applyFont="1" applyFill="1" applyBorder="1" applyAlignment="1">
      <x:alignment vertical="center" wrapText="1"/>
    </x:xf>
    <x:xf numFmtId="0" fontId="7" fillId="7" borderId="6" xfId="0" applyNumberFormat="1" applyFont="1" applyFill="1" applyBorder="1" applyAlignment="1">
      <x:alignment vertical="center" wrapText="1"/>
    </x:xf>
    <x:xf numFmtId="0" fontId="7" fillId="7" borderId="15" xfId="0" applyNumberFormat="1" applyFont="1" applyFill="1" applyBorder="1" applyAlignment="1">
      <x:alignment vertical="center" wrapText="1"/>
    </x:xf>
    <x:xf numFmtId="0" fontId="7" fillId="7" borderId="7" xfId="0" applyNumberFormat="1" applyFont="1" applyFill="1" applyBorder="1" applyAlignment="1">
      <x:alignment vertical="center" wrapText="1"/>
    </x:xf>
    <x:xf numFmtId="0" fontId="0" fillId="7" borderId="1" xfId="0" applyNumberFormat="1" applyFont="1" applyFill="1" applyBorder="1"/>
    <x:xf numFmtId="0" fontId="7" fillId="7" borderId="1" xfId="0" applyNumberFormat="1" applyFont="1" applyFill="1" applyBorder="1"/>
    <x:xf numFmtId="0" fontId="7" fillId="7" borderId="8" xfId="0" applyNumberFormat="1" applyFont="1" applyFill="1" applyBorder="1"/>
    <x:xf numFmtId="0" fontId="7" fillId="7" borderId="16" xfId="0" applyNumberFormat="1" applyFont="1" applyFill="1" applyBorder="1"/>
    <x:xf numFmtId="0" fontId="7" fillId="7" borderId="9" xfId="0" applyNumberFormat="1" applyFont="1" applyFill="1" applyBorder="1"/>
    <x:xf numFmtId="0" fontId="7" fillId="7" borderId="10" xfId="0" applyNumberFormat="1" applyFont="1" applyFill="1" applyBorder="1"/>
    <x:xf numFmtId="0" fontId="7" fillId="7" borderId="11" xfId="0" applyNumberFormat="1" applyFont="1" applyFill="1" applyBorder="1"/>
    <x:xf numFmtId="0" fontId="7" fillId="7" borderId="12" xfId="0" applyNumberFormat="1" applyFont="1" applyFill="1" applyBorder="1"/>
    <x:xf numFmtId="0" fontId="7" fillId="7" borderId="17" xfId="0" applyNumberFormat="1" applyFont="1" applyFill="1" applyBorder="1"/>
    <x:xf numFmtId="0" fontId="7" fillId="7" borderId="13" xfId="0" applyNumberFormat="1" applyFont="1" applyFill="1" applyBorder="1"/>
    <x:xf numFmtId="0" fontId="7" fillId="7" borderId="8" xfId="0" applyNumberFormat="1" applyFont="1" applyFill="1" applyBorder="1" applyAlignment="1">
      <x:alignment wrapText="1"/>
    </x:xf>
    <x:xf numFmtId="0" fontId="7" fillId="7" borderId="16" xfId="0" applyNumberFormat="1" applyFont="1" applyFill="1" applyBorder="1" applyAlignment="1">
      <x:alignment wrapText="1"/>
    </x:xf>
    <x:xf numFmtId="0" fontId="7" fillId="7" borderId="9" xfId="0" applyNumberFormat="1" applyFont="1" applyFill="1" applyBorder="1" applyAlignment="1">
      <x:alignment wrapText="1"/>
    </x:xf>
    <x:xf numFmtId="0" fontId="7" fillId="7" borderId="10" xfId="0" applyNumberFormat="1" applyFont="1" applyFill="1" applyBorder="1" applyAlignment="1">
      <x:alignment wrapText="1"/>
    </x:xf>
    <x:xf numFmtId="0" fontId="7" fillId="7" borderId="1" xfId="0" applyNumberFormat="1" applyFont="1" applyFill="1" applyBorder="1" applyAlignment="1">
      <x:alignment wrapText="1"/>
    </x:xf>
    <x:xf numFmtId="0" fontId="7" fillId="7" borderId="11" xfId="0" applyNumberFormat="1" applyFont="1" applyFill="1" applyBorder="1" applyAlignment="1">
      <x:alignment wrapText="1"/>
    </x:xf>
    <x:xf numFmtId="0" fontId="7" fillId="7" borderId="12" xfId="0" applyNumberFormat="1" applyFont="1" applyFill="1" applyBorder="1" applyAlignment="1">
      <x:alignment wrapText="1"/>
    </x:xf>
    <x:xf numFmtId="0" fontId="7" fillId="7" borderId="17" xfId="0" applyNumberFormat="1" applyFont="1" applyFill="1" applyBorder="1" applyAlignment="1">
      <x:alignment wrapText="1"/>
    </x:xf>
    <x:xf numFmtId="0" fontId="7" fillId="7" borderId="13" xfId="0" applyNumberFormat="1" applyFont="1" applyFill="1" applyBorder="1" applyAlignment="1">
      <x:alignment wrapText="1"/>
    </x:xf>
    <x:xf numFmtId="0" fontId="7" fillId="7" borderId="8" xfId="0" applyNumberFormat="1" applyFont="1" applyFill="1" applyBorder="1" applyAlignment="1">
      <x:alignment vertical="center" wrapText="1"/>
    </x:xf>
    <x:xf numFmtId="0" fontId="7" fillId="7" borderId="16" xfId="0" applyNumberFormat="1" applyFont="1" applyFill="1" applyBorder="1" applyAlignment="1">
      <x:alignment vertical="center" wrapText="1"/>
    </x:xf>
    <x:xf numFmtId="0" fontId="7" fillId="7" borderId="9" xfId="0" applyNumberFormat="1" applyFont="1" applyFill="1" applyBorder="1" applyAlignment="1">
      <x:alignment vertical="center" wrapText="1"/>
    </x:xf>
    <x:xf numFmtId="0" fontId="7" fillId="7" borderId="10"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7" fillId="7" borderId="11" xfId="0" applyNumberFormat="1" applyFont="1" applyFill="1" applyBorder="1" applyAlignment="1">
      <x:alignment vertical="center" wrapText="1"/>
    </x:xf>
    <x:xf numFmtId="0" fontId="7" fillId="7" borderId="12" xfId="0" applyNumberFormat="1" applyFont="1" applyFill="1" applyBorder="1" applyAlignment="1">
      <x:alignment vertical="center" wrapText="1"/>
    </x:xf>
    <x:xf numFmtId="0" fontId="7" fillId="7" borderId="17" xfId="0" applyNumberFormat="1" applyFont="1" applyFill="1" applyBorder="1" applyAlignment="1">
      <x:alignment vertical="center" wrapText="1"/>
    </x:xf>
    <x:xf numFmtId="0" fontId="7" fillId="7" borderId="13" xfId="0" applyNumberFormat="1" applyFont="1" applyFill="1" applyBorder="1" applyAlignment="1">
      <x:alignment vertical="center" wrapText="1"/>
    </x:xf>
    <x:xf numFmtId="0" fontId="0" fillId="0" borderId="22" xfId="0" applyNumberFormat="1" applyFont="1" applyFill="1" applyBorder="1"/>
    <x:xf numFmtId="0" fontId="0" fillId="0" borderId="23" xfId="0" applyNumberFormat="1" applyFont="1" applyFill="1" applyBorder="1"/>
    <x:xf numFmtId="200" fontId="0" fillId="0" borderId="0" xfId="0" applyNumberFormat="1" applyFont="1" applyFill="1" applyBorder="1"/>
    <x:xf numFmtId="200" fontId="0" fillId="0" borderId="22" xfId="0" applyNumberFormat="1" applyFont="1" applyFill="1" applyBorder="1"/>
    <x:xf numFmtId="200" fontId="0" fillId="0" borderId="1" xfId="0" applyNumberFormat="1" applyFont="1" applyFill="1" applyBorder="1"/>
    <x:xf numFmtId="200" fontId="0" fillId="0" borderId="23" xfId="0" applyNumberFormat="1" applyFont="1" applyFill="1" applyBorder="1"/>
    <x:xf numFmtId="201" fontId="0" fillId="0" borderId="0" xfId="0" applyNumberFormat="1" applyFont="1" applyFill="1" applyBorder="1"/>
    <x:xf numFmtId="201" fontId="0" fillId="0" borderId="22" xfId="0" applyNumberFormat="1" applyFont="1" applyFill="1" applyBorder="1"/>
    <x:xf numFmtId="201" fontId="0" fillId="0" borderId="1" xfId="0" applyNumberFormat="1" applyFont="1" applyFill="1" applyBorder="1"/>
    <x:xf numFmtId="201" fontId="0" fillId="0" borderId="23" xfId="0" applyNumberFormat="1" applyFont="1" applyFill="1" applyBorder="1"/>
    <x:xf numFmtId="202" fontId="0" fillId="0" borderId="0" xfId="0" applyNumberFormat="1" applyFont="1" applyFill="1" applyBorder="1"/>
    <x:xf numFmtId="202" fontId="0" fillId="0" borderId="22" xfId="0" applyNumberFormat="1" applyFont="1" applyFill="1" applyBorder="1"/>
    <x:xf numFmtId="202" fontId="0" fillId="0" borderId="1" xfId="0" applyNumberFormat="1" applyFont="1" applyFill="1" applyBorder="1"/>
    <x:xf numFmtId="202" fontId="0" fillId="0" borderId="23" xfId="0" applyNumberFormat="1" applyFont="1" applyFill="1" applyBorder="1"/>
    <x:xf numFmtId="203" fontId="0" fillId="0" borderId="0" xfId="0" applyNumberFormat="1" applyFont="1" applyFill="1" applyBorder="1"/>
    <x:xf numFmtId="203" fontId="0" fillId="0" borderId="22" xfId="0" applyNumberFormat="1" applyFont="1" applyFill="1" applyBorder="1"/>
    <x:xf numFmtId="203" fontId="0" fillId="0" borderId="1" xfId="0" applyNumberFormat="1" applyFont="1" applyFill="1" applyBorder="1"/>
    <x:xf numFmtId="203" fontId="0" fillId="0" borderId="23" xfId="0" applyNumberFormat="1" applyFont="1" applyFill="1" applyBorder="1"/>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202" fontId="0" fillId="0" borderId="5" xfId="0" applyNumberFormat="1" applyFont="1" applyFill="1" applyBorder="1"/>
    <x:xf numFmtId="202" fontId="0" fillId="0" borderId="11" xfId="0" applyNumberFormat="1" applyFont="1" applyFill="1" applyBorder="1"/>
    <x:xf numFmtId="204" fontId="0" fillId="0" borderId="5" xfId="0" applyNumberFormat="1" applyFont="1" applyFill="1" applyBorder="1"/>
    <x:xf numFmtId="204" fontId="0" fillId="0" borderId="11" xfId="0" applyNumberFormat="1" applyFont="1" applyFill="1" applyBorder="1"/>
    <x:xf numFmtId="203" fontId="0" fillId="0" borderId="5" xfId="0" applyNumberFormat="1" applyFont="1" applyFill="1" applyBorder="1"/>
    <x:xf numFmtId="203" fontId="0" fillId="0" borderId="7" xfId="0" applyNumberFormat="1" applyFont="1" applyFill="1" applyBorder="1"/>
    <x:xf numFmtId="203" fontId="0" fillId="0" borderId="11" xfId="0" applyNumberFormat="1" applyFont="1" applyFill="1" applyBorder="1"/>
    <x:xf numFmtId="203" fontId="0" fillId="0" borderId="13" xfId="0" applyNumberFormat="1" applyFont="1" applyFill="1" applyBorder="1"/>
    <x:xf numFmtId="202" fontId="0" fillId="0" borderId="7" xfId="0" applyNumberFormat="1" applyFont="1" applyFill="1" applyBorder="1"/>
    <x:xf numFmtId="202" fontId="0" fillId="0" borderId="13" xfId="0" applyNumberFormat="1" applyFont="1" applyFill="1" applyBorder="1"/>
    <x:xf numFmtId="0" fontId="6" fillId="5" borderId="0" xfId="0" applyNumberFormat="1" applyFont="1" applyFill="1" applyBorder="1"/>
    <x:xf numFmtId="0" fontId="6" fillId="5" borderId="2" xfId="0" applyNumberFormat="1" applyFont="1" applyFill="1" applyBorder="1"/>
    <x:xf numFmtId="0" fontId="6" fillId="5" borderId="14" xfId="0" applyNumberFormat="1" applyFont="1" applyFill="1" applyBorder="1"/>
    <x:xf numFmtId="0" fontId="6" fillId="5" borderId="3"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15" xfId="0" applyNumberFormat="1" applyFont="1" applyFill="1" applyBorder="1"/>
    <x:xf numFmtId="0" fontId="6" fillId="5" borderId="7" xfId="0" applyNumberFormat="1" applyFont="1" applyFill="1" applyBorder="1"/>
    <x:xf numFmtId="0" fontId="6" fillId="5" borderId="2" xfId="0" applyNumberFormat="1" applyFont="1" applyFill="1" applyBorder="1" applyAlignment="1">
      <x:alignment wrapText="1"/>
    </x:xf>
    <x:xf numFmtId="0" fontId="6" fillId="5" borderId="14" xfId="0" applyNumberFormat="1" applyFont="1" applyFill="1" applyBorder="1" applyAlignment="1">
      <x:alignment wrapText="1"/>
    </x:xf>
    <x:xf numFmtId="0" fontId="6" fillId="5" borderId="3" xfId="0" applyNumberFormat="1" applyFont="1" applyFill="1" applyBorder="1" applyAlignment="1">
      <x:alignment wrapText="1"/>
    </x:xf>
    <x:xf numFmtId="0" fontId="6" fillId="5" borderId="4"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15" xfId="0" applyNumberFormat="1" applyFont="1" applyFill="1" applyBorder="1" applyAlignment="1">
      <x:alignment wrapText="1"/>
    </x:xf>
    <x:xf numFmtId="0" fontId="6" fillId="5" borderId="7" xfId="0" applyNumberFormat="1" applyFont="1" applyFill="1" applyBorder="1" applyAlignment="1">
      <x:alignment wrapText="1"/>
    </x:xf>
    <x:xf numFmtId="0" fontId="6" fillId="5" borderId="2" xfId="0" applyNumberFormat="1" applyFont="1" applyFill="1" applyBorder="1" applyAlignment="1">
      <x:alignment vertical="center" wrapText="1"/>
    </x:xf>
    <x:xf numFmtId="0" fontId="6" fillId="5" borderId="14" xfId="0" applyNumberFormat="1" applyFont="1" applyFill="1" applyBorder="1" applyAlignment="1">
      <x:alignment vertical="center" wrapText="1"/>
    </x:xf>
    <x:xf numFmtId="0" fontId="6" fillId="5" borderId="3" xfId="0" applyNumberFormat="1" applyFont="1" applyFill="1" applyBorder="1" applyAlignment="1">
      <x:alignment vertical="center" wrapText="1"/>
    </x:xf>
    <x:xf numFmtId="0" fontId="6" fillId="5" borderId="4"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5" borderId="5" xfId="0" applyNumberFormat="1" applyFont="1" applyFill="1" applyBorder="1" applyAlignment="1">
      <x:alignment vertical="center" wrapText="1"/>
    </x:xf>
    <x:xf numFmtId="0" fontId="6" fillId="5" borderId="6" xfId="0" applyNumberFormat="1" applyFont="1" applyFill="1" applyBorder="1" applyAlignment="1">
      <x:alignment vertical="center" wrapText="1"/>
    </x:xf>
    <x:xf numFmtId="0" fontId="6" fillId="5" borderId="15" xfId="0" applyNumberFormat="1" applyFont="1" applyFill="1" applyBorder="1" applyAlignment="1">
      <x:alignment vertical="center" wrapText="1"/>
    </x:xf>
    <x:xf numFmtId="0" fontId="6" fillId="5" borderId="7" xfId="0" applyNumberFormat="1" applyFont="1" applyFill="1" applyBorder="1" applyAlignment="1">
      <x:alignment vertical="center" wrapText="1"/>
    </x:xf>
    <x:xf numFmtId="0" fontId="6" fillId="5" borderId="1" xfId="0" applyNumberFormat="1" applyFont="1" applyFill="1" applyBorder="1"/>
    <x:xf numFmtId="0" fontId="6" fillId="5" borderId="8" xfId="0" applyNumberFormat="1" applyFont="1" applyFill="1" applyBorder="1"/>
    <x:xf numFmtId="0" fontId="6" fillId="5" borderId="16"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17" xfId="0" applyNumberFormat="1" applyFont="1" applyFill="1" applyBorder="1"/>
    <x:xf numFmtId="0" fontId="6" fillId="5" borderId="13" xfId="0" applyNumberFormat="1" applyFont="1" applyFill="1" applyBorder="1"/>
    <x:xf numFmtId="0" fontId="6" fillId="5" borderId="8" xfId="0" applyNumberFormat="1" applyFont="1" applyFill="1" applyBorder="1" applyAlignment="1">
      <x:alignment wrapText="1"/>
    </x:xf>
    <x:xf numFmtId="0" fontId="6" fillId="5" borderId="16" xfId="0" applyNumberFormat="1" applyFont="1" applyFill="1" applyBorder="1" applyAlignment="1">
      <x:alignment wrapText="1"/>
    </x:xf>
    <x:xf numFmtId="0" fontId="6" fillId="5" borderId="9" xfId="0" applyNumberFormat="1" applyFont="1" applyFill="1" applyBorder="1" applyAlignment="1">
      <x:alignment wrapText="1"/>
    </x:xf>
    <x:xf numFmtId="0" fontId="6" fillId="5" borderId="10" xfId="0" applyNumberFormat="1" applyFont="1" applyFill="1" applyBorder="1" applyAlignment="1">
      <x:alignment wrapText="1"/>
    </x:xf>
    <x:xf numFmtId="0" fontId="6" fillId="5" borderId="1" xfId="0" applyNumberFormat="1" applyFont="1" applyFill="1" applyBorder="1" applyAlignment="1">
      <x:alignment wrapText="1"/>
    </x:xf>
    <x:xf numFmtId="0" fontId="6" fillId="5" borderId="11" xfId="0" applyNumberFormat="1" applyFont="1" applyFill="1" applyBorder="1" applyAlignment="1">
      <x:alignment wrapText="1"/>
    </x:xf>
    <x:xf numFmtId="0" fontId="6" fillId="5" borderId="12" xfId="0" applyNumberFormat="1" applyFont="1" applyFill="1" applyBorder="1" applyAlignment="1">
      <x:alignment wrapText="1"/>
    </x:xf>
    <x:xf numFmtId="0" fontId="6" fillId="5" borderId="17" xfId="0" applyNumberFormat="1" applyFont="1" applyFill="1" applyBorder="1" applyAlignment="1">
      <x:alignment wrapText="1"/>
    </x:xf>
    <x:xf numFmtId="0" fontId="6" fillId="5" borderId="13" xfId="0" applyNumberFormat="1" applyFont="1" applyFill="1" applyBorder="1" applyAlignment="1">
      <x:alignment wrapText="1"/>
    </x:xf>
    <x:xf numFmtId="0" fontId="6" fillId="5" borderId="8" xfId="0" applyNumberFormat="1" applyFont="1" applyFill="1" applyBorder="1" applyAlignment="1">
      <x:alignment vertical="center" wrapText="1"/>
    </x:xf>
    <x:xf numFmtId="0" fontId="6" fillId="5" borderId="16" xfId="0" applyNumberFormat="1" applyFont="1" applyFill="1" applyBorder="1" applyAlignment="1">
      <x:alignment vertical="center" wrapText="1"/>
    </x:xf>
    <x:xf numFmtId="0" fontId="6" fillId="5" borderId="9" xfId="0" applyNumberFormat="1" applyFont="1" applyFill="1" applyBorder="1" applyAlignment="1">
      <x:alignment vertical="center" wrapText="1"/>
    </x:xf>
    <x:xf numFmtId="0" fontId="6" fillId="5" borderId="10" xfId="0" applyNumberFormat="1" applyFont="1" applyFill="1" applyBorder="1" applyAlignment="1">
      <x:alignment vertical="center" wrapText="1"/>
    </x:xf>
    <x:xf numFmtId="0" fontId="6" fillId="5" borderId="1" xfId="0" applyNumberFormat="1" applyFont="1" applyFill="1" applyBorder="1" applyAlignment="1">
      <x:alignment vertical="center" wrapText="1"/>
    </x:xf>
    <x:xf numFmtId="0" fontId="6" fillId="5" borderId="11" xfId="0" applyNumberFormat="1" applyFont="1" applyFill="1" applyBorder="1" applyAlignment="1">
      <x:alignment vertical="center" wrapText="1"/>
    </x:xf>
    <x:xf numFmtId="0" fontId="6" fillId="5" borderId="12" xfId="0" applyNumberFormat="1" applyFont="1" applyFill="1" applyBorder="1" applyAlignment="1">
      <x:alignment vertical="center" wrapText="1"/>
    </x:xf>
    <x:xf numFmtId="0" fontId="6" fillId="5" borderId="17" xfId="0" applyNumberFormat="1" applyFont="1" applyFill="1" applyBorder="1" applyAlignment="1">
      <x:alignment vertical="center" wrapText="1"/>
    </x:xf>
    <x:xf numFmtId="0" fontId="6" fillId="5" borderId="13" xfId="0" applyNumberFormat="1" applyFont="1" applyFill="1" applyBorder="1" applyAlignment="1">
      <x:alignment vertical="center" wrapText="1"/>
    </x:xf>
    <x:xf numFmtId="0" fontId="4" fillId="2" borderId="14" xfId="0" applyNumberFormat="1" applyFont="1" applyFill="1" applyBorder="1" applyAlignment="1">
      <x:alignment horizontal="center" vertical="center" wrapText="1"/>
    </x:xf>
    <x:xf numFmtId="0" fontId="4" fillId="2" borderId="16" xfId="0" applyNumberFormat="1" applyFont="1" applyFill="1" applyBorder="1" applyAlignment="1">
      <x:alignment horizontal="center" vertical="center" wrapText="1"/>
    </x:xf>
    <x:xf numFmtId="201" fontId="0" fillId="0" borderId="5" xfId="0" applyNumberFormat="1" applyFont="1" applyFill="1" applyBorder="1"/>
    <x:xf numFmtId="201" fontId="0" fillId="0" borderId="7" xfId="0" applyNumberFormat="1" applyFont="1" applyFill="1" applyBorder="1"/>
    <x:xf numFmtId="201" fontId="0" fillId="0" borderId="11" xfId="0" applyNumberFormat="1" applyFont="1" applyFill="1" applyBorder="1"/>
    <x:xf numFmtId="201" fontId="0" fillId="0" borderId="13" xfId="0" applyNumberFormat="1" applyFont="1" applyFill="1" applyBorder="1"/>
    <x:xf numFmtId="201" fontId="0" fillId="0" borderId="15" xfId="0" applyNumberFormat="1" applyFont="1" applyFill="1" applyBorder="1"/>
    <x:xf numFmtId="201" fontId="0" fillId="0" borderId="17" xfId="0" applyNumberFormat="1" applyFont="1" applyFill="1" applyBorder="1"/>
    <x:xf numFmtId="203" fontId="0" fillId="0" borderId="15" xfId="0" applyNumberFormat="1" applyFont="1" applyFill="1" applyBorder="1"/>
  </x:cellXfs>
  <x:cellStyles count="1">
    <x:cellStyle name="Normal" xfId="0"/>
  </x:cellStyles>
  <x:dxfs count="1">
    <x:dxf>
      <x:font>
        <x:b/>
        <x:color rgb="FFB7791F"/>
      </x:font>
      <x:fill>
        <x:patternFill patternType="solid">
          <x:bgColor rgb="FFFFF3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49ed0810cd4df2" /><Relationship Type="http://schemas.openxmlformats.org/officeDocument/2006/relationships/theme" Target="/xl/theme/theme1.xml" Id="R2d7262d49b6f4785" /><Relationship Type="http://schemas.openxmlformats.org/officeDocument/2006/relationships/sharedStrings" Target="/xl/sharedStrings.xml" Id="R9eb093758fdf4ea1" /><Relationship Type="http://schemas.openxmlformats.org/officeDocument/2006/relationships/worksheet" Target="/xl/worksheets/sheet1.xml" Id="R0133f626dd774d53" /><Relationship Type="http://schemas.openxmlformats.org/officeDocument/2006/relationships/worksheet" Target="/xl/worksheets/sheet2.xml" Id="R768d7d2a0e374c4c" /><Relationship Type="http://schemas.openxmlformats.org/officeDocument/2006/relationships/worksheet" Target="/xl/worksheets/sheet3.xml" Id="Rb6013546c40a4e57" /><Relationship Type="http://schemas.openxmlformats.org/officeDocument/2006/relationships/worksheet" Target="/xl/worksheets/sheet4.xml" Id="Raf0fc25fa9b04296" /></Relationships>
</file>

<file path=xl/drawings/_rels/drawing1.xml.rels>&#65279;<?xml version="1.0" encoding="utf-8"?><Relationships xmlns="http://schemas.openxmlformats.org/package/2006/relationships"><Relationship Type="http://schemas.openxmlformats.org/officeDocument/2006/relationships/chart" Target="/xl/drawings/charts/chart1.xml" Id="Rcad31effcd984c59" /><Relationship Type="http://schemas.openxmlformats.org/officeDocument/2006/relationships/chart" Target="/xl/drawings/charts/chart2.xml" Id="R38f9ceb1eb494f8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Pricing availability</a:t>
            </a:r>
          </a:p>
        </c:rich>
      </c:tx>
      <c:overlay val="0"/>
    </c:title>
    <c:autoTitleDeleted val="0"/>
    <c:plotArea>
      <c:layout/>
      <c:barChart>
        <c:barDir val="col"/>
        <c:grouping val="clustered"/>
        <c:varyColors val="0"/>
        <c:ser>
          <c:idx val="0"/>
          <c:order val="0"/>
          <c:tx>
            <c:v>Count</c:v>
          </c:tx>
          <c:cat>
            <c:strRef>
              <c:f>'Summary'!$D$5:$D$6</c:f>
              <c:strCache>
                <c:ptCount val="0"/>
              </c:strCache>
            </c:strRef>
          </c:cat>
          <c:val>
            <c:numRef>
              <c:f>'Summary'!$E$5:$E$6</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indexed models</a:t>
            </a:r>
          </a:p>
        </c:rich>
      </c:tx>
      <c:overlay val="0"/>
    </c:title>
    <c:autoTitleDeleted val="0"/>
    <c:plotArea>
      <c:layout/>
      <c:barChart>
        <c:barDir val="col"/>
        <c:varyColors val="0"/>
        <c:ser>
          <c:idx val="0"/>
          <c:order val="0"/>
          <c:tx>
            <c:v>Units</c:v>
          </c:tx>
          <c:cat>
            <c:strRef>
              <c:f>'Summary'!$C$31:$C$42</c:f>
              <c:strCache>
                <c:ptCount val="0"/>
              </c:strCache>
            </c:strRef>
          </c:cat>
          <c:val>
            <c:numRef>
              <c:f>'Summary'!$D$31:$D$42</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8</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d31effcd984c59"/>
        </a:graphicData>
      </a:graphic>
    </xdr:graphicFrame>
    <xdr:clientData/>
  </xdr:twoCellAnchor>
  <xdr:twoCellAnchor>
    <xdr:from>
      <xdr:col>4</xdr:col>
      <xdr:colOff>0</xdr:colOff>
      <xdr:row>28</xdr:row>
      <xdr:rowOff>0</xdr:rowOff>
    </xdr:from>
    <xdr:to>
      <xdr:col>8</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f9ceb1eb494f8d"/>
        </a:graphicData>
      </a:graphic>
    </xdr:graphicFrame>
    <xdr:clientData/>
  </xdr:twoCellAnchor>
</xdr:wsDr>
</file>

<file path=xl/tables/table1.xml><?xml version="1.0" encoding="utf-8"?>
<x:table xmlns:x="http://schemas.openxmlformats.org/spreadsheetml/2006/main" id="1" name="UsedInventoryListingSnapshot" displayName="UsedInventoryListingSnapshot" ref="A1:S319" headerRowCount="1">
  <x:tableColumns count="19">
    <x:tableColumn id="1" name="Source Record ID"/>
    <x:tableColumn id="2" name="Dealership ID"/>
    <x:tableColumn id="3" name="Store Name"/>
    <x:tableColumn id="4" name="Captured At"/>
    <x:tableColumn id="5" name="Source Batch ID"/>
    <x:tableColumn id="6" name="Source Feed"/>
    <x:tableColumn id="7" name="Condition"/>
    <x:tableColumn id="8" name="Model Year"/>
    <x:tableColumn id="9" name="Make"/>
    <x:tableColumn id="10" name="Model"/>
    <x:tableColumn id="11" name="Trim"/>
    <x:tableColumn id="12" name="Vehicle Display"/>
    <x:tableColumn id="13" name="Odometer Miles"/>
    <x:tableColumn id="14" name="Advertised Price"/>
    <x:tableColumn id="15" name="Pricing Status"/>
    <x:tableColumn id="16" name="Synthetic Vehicle ID"/>
    <x:tableColumn id="17" name="Synthetic VIN"/>
    <x:tableColumn id="18" name="Inventory Unit Count"/>
    <x:tableColumn id="19" name="Data Classification"/>
  </x:tableColumns>
  <x:tableStyleInfo name="TableStyleMedium2" showRowStripes="1"/>
</x:table>
</file>

<file path=xl/tables/table2.xml><?xml version="1.0" encoding="utf-8"?>
<x:table xmlns:x="http://schemas.openxmlformats.org/spreadsheetml/2006/main" id="2" name="UsedInventoryModelSummary" displayName="UsedInventoryModelSummary" ref="A4:I143" headerRowCount="1">
  <x:tableColumns count="9">
    <x:tableColumn id="1" name="Condition"/>
    <x:tableColumn id="2" name="Make"/>
    <x:tableColumn id="3" name="Model"/>
    <x:tableColumn id="4" name="Indexed Units"/>
    <x:tableColumn id="5" name="Listed Units"/>
    <x:tableColumn id="6" name="Price Not Exposed"/>
    <x:tableColumn id="7" name="Average Advertised Price"/>
    <x:tableColumn id="8" name="Minimum Advertised Price"/>
    <x:tableColumn id="9" name="Maximum Advertised Pri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9b61e21c645476f" /></Relationships>
</file>

<file path=xl/worksheets/_rels/sheet3.xml.rels>&#65279;<?xml version="1.0" encoding="utf-8"?><Relationships xmlns="http://schemas.openxmlformats.org/package/2006/relationships"><Relationship Type="http://schemas.openxmlformats.org/officeDocument/2006/relationships/table" Target="/xl/tables/table1.xml" Id="R40dfb058997a4f32" /></Relationships>
</file>

<file path=xl/worksheets/_rels/sheet4.xml.rels>&#65279;<?xml version="1.0" encoding="utf-8"?><Relationships xmlns="http://schemas.openxmlformats.org/package/2006/relationships"><Relationship Type="http://schemas.openxmlformats.org/officeDocument/2006/relationships/table" Target="/xl/tables/table2.xml" Id="R4cad9627001a4859" /></Relationships>
</file>

<file path=xl/worksheets/sheet1.xml><?xml version="1.0" encoding="utf-8"?>
<x:worksheet xmlns:x="http://schemas.openxmlformats.org/spreadsheetml/2006/main">
  <x:sheetFormatPr defaultRowHeight="15"/>
  <x:cols>
    <x:col min="1" max="1" width="27" hidden="0" customWidth="1"/>
    <x:col min="2" max="2" width="78" hidden="0" customWidth="1"/>
    <x:col min="3" max="3" width="18" hidden="0" customWidth="1"/>
    <x:col min="4" max="4" width="14" hidden="0" customWidth="1"/>
    <x:col min="5" max="5" width="14" hidden="0" customWidth="1"/>
    <x:col min="6" max="6" width="14" hidden="0" customWidth="1"/>
    <x:col min="7" max="7" width="14" hidden="0" customWidth="1"/>
    <x:col min="8" max="8" width="14" hidden="0" customWidth="1"/>
  </x:cols>
  <x:sheetData>
    <x:row r="1" ht="28" customHeight="1">
      <x:c r="A1" s="5" t="str">
        <x:v>ARPI Inventory Operations | Sanitized Public Reference Artifact</x:v>
      </x:c>
      <x:c r="B1" s="5"/>
      <x:c r="C1" s="5"/>
      <x:c r="D1" s="5"/>
      <x:c r="E1" s="5"/>
      <x:c r="F1" s="5"/>
      <x:c r="G1" s="5"/>
      <x:c r="H1" s="5"/>
    </x:row>
    <x:row r="2" ht="28" customHeight="1">
      <x:c r="A2" s="5"/>
      <x:c r="B2" s="5"/>
      <x:c r="C2" s="5"/>
      <x:c r="D2" s="5"/>
      <x:c r="E2" s="5"/>
      <x:c r="F2" s="5"/>
      <x:c r="G2" s="5"/>
      <x:c r="H2" s="5"/>
    </x:row>
    <x:row r="4" ht="24" customHeight="1">
      <x:c r="A4" s="16" t="str">
        <x:v>Artifact</x:v>
      </x:c>
      <x:c r="B4" s="17" t="str">
        <x:v>Granite Used Auto Center inventory listing snapshot</x:v>
      </x:c>
    </x:row>
    <x:row r="5" ht="24" customHeight="1">
      <x:c r="A5" s="18" t="str">
        <x:v>Dealer group</x:v>
      </x:c>
      <x:c r="B5" s="19" t="str">
        <x:v>Granite State Auto Group</x:v>
      </x:c>
    </x:row>
    <x:row r="6" ht="24" customHeight="1">
      <x:c r="A6" s="18" t="str">
        <x:v>Store</x:v>
      </x:c>
      <x:c r="B6" s="19" t="str">
        <x:v>Granite Used Auto Center of Merrimack</x:v>
      </x:c>
    </x:row>
    <x:row r="7" ht="24" customHeight="1">
      <x:c r="A7" s="18" t="str">
        <x:v>Dealership ID</x:v>
      </x:c>
      <x:c r="B7" s="19" t="str">
        <x:v>GSA-003</x:v>
      </x:c>
    </x:row>
    <x:row r="8" ht="24" customHeight="1">
      <x:c r="A8" s="18" t="str">
        <x:v>Market</x:v>
      </x:c>
      <x:c r="B8" s="19" t="str">
        <x:v>Southern New Hampshire</x:v>
      </x:c>
    </x:row>
    <x:row r="9" ht="24" customHeight="1">
      <x:c r="A9" s="18" t="str">
        <x:v>Snapshot date</x:v>
      </x:c>
      <x:c r="B9" s="28" t="n">
        <x:v>46236</x:v>
      </x:c>
    </x:row>
    <x:row r="10" ht="24" customHeight="1">
      <x:c r="A10" s="18" t="str">
        <x:v>Source type</x:v>
      </x:c>
      <x:c r="B10" s="19" t="str">
        <x:v>Public indexed inventory listing snapshot, de-identified for portfolio use</x:v>
      </x:c>
    </x:row>
    <x:row r="11" ht="24" customHeight="1">
      <x:c r="A11" s="18" t="str">
        <x:v>Classification</x:v>
      </x:c>
      <x:c r="B11" s="19" t="str">
        <x:v>Sanitized public reference data</x:v>
      </x:c>
    </x:row>
    <x:row r="12" ht="24" customHeight="1">
      <x:c r="A12" s="18" t="str">
        <x:v>Coverage status</x:v>
      </x:c>
      <x:c r="B12" s="19" t="str">
        <x:v>Complete indexed public listing snapshot</x:v>
      </x:c>
    </x:row>
    <x:row r="13" ht="24" customHeight="1">
      <x:c r="A13" s="18" t="str">
        <x:v>Reference row count</x:v>
      </x:c>
      <x:c r="B13" s="19" t="n">
        <x:v>318</x:v>
      </x:c>
    </x:row>
    <x:row r="14" ht="24" customHeight="1">
      <x:c r="A14" s="18" t="str">
        <x:v>Listed-price row count</x:v>
      </x:c>
      <x:c r="B14" s="19" t="n">
        <x:v>31</x:v>
      </x:c>
    </x:row>
    <x:row r="15" ht="24" customHeight="1">
      <x:c r="A15" s="20" t="str">
        <x:v>Sanitization version</x:v>
      </x:c>
      <x:c r="B15" s="21" t="str">
        <x:v>1.0</x:v>
      </x:c>
    </x:row>
    <x:row r="17">
      <x:c r="A17" s="33" t="str">
        <x:v>Sanitization controls applied</x:v>
      </x:c>
      <x:c r="B17" s="33"/>
      <x:c r="C17" s="33"/>
      <x:c r="D17" s="33"/>
      <x:c r="E17" s="33"/>
      <x:c r="F17" s="33"/>
      <x:c r="G17" s="33"/>
      <x:c r="H17" s="33"/>
    </x:row>
    <x:row r="18" ht="36" customHeight="1">
      <x:c r="A18" s="41" t="str">
        <x:v>Control</x:v>
      </x:c>
      <x:c r="B18" s="41" t="str">
        <x:v>Result</x:v>
      </x:c>
      <x:c r="C18" s="41" t="str">
        <x:v>Public artifact treatment</x:v>
      </x:c>
      <x:c r="D18" s="41"/>
      <x:c r="E18" s="41"/>
      <x:c r="F18" s="41"/>
      <x:c r="G18" s="41"/>
      <x:c r="H18" s="41"/>
    </x:row>
    <x:row r="19" ht="36" customHeight="1">
      <x:c r="A19" s="46" t="str">
        <x:v>Original VINs</x:v>
      </x:c>
      <x:c r="B19" s="47" t="str">
        <x:v>0 present</x:v>
      </x:c>
      <x:c r="C19" s="57" t="str">
        <x:v>The source exposed no VINs. No original VIN field or value is retained.</x:v>
      </x:c>
      <x:c r="D19" s="57"/>
      <x:c r="E19" s="57"/>
      <x:c r="F19" s="57"/>
      <x:c r="G19" s="57"/>
      <x:c r="H19" s="58"/>
    </x:row>
    <x:row r="20" ht="36" customHeight="1">
      <x:c r="A20" s="48" t="str">
        <x:v>Source URLs</x:v>
      </x:c>
      <x:c r="B20" s="49" t="str">
        <x:v>318 removed</x:v>
      </x:c>
      <x:c r="C20" s="59" t="str">
        <x:v>Every row-level source URL was removed after deriving a non-reversible listing identity.</x:v>
      </x:c>
      <x:c r="D20" s="59"/>
      <x:c r="E20" s="59"/>
      <x:c r="F20" s="59"/>
      <x:c r="G20" s="59"/>
      <x:c r="H20" s="60"/>
    </x:row>
    <x:row r="21" ht="36" customHeight="1">
      <x:c r="A21" s="48" t="str">
        <x:v>Source listing keys</x:v>
      </x:c>
      <x:c r="B21" s="49" t="str">
        <x:v>318 transformed</x:v>
      </x:c>
      <x:c r="C21" s="59" t="str">
        <x:v>Public stock-style listing keys were hashed and are not retained in the workbook.</x:v>
      </x:c>
      <x:c r="D21" s="59"/>
      <x:c r="E21" s="59"/>
      <x:c r="F21" s="59"/>
      <x:c r="G21" s="59"/>
      <x:c r="H21" s="60"/>
    </x:row>
    <x:row r="22" ht="36" customHeight="1">
      <x:c r="A22" s="48" t="str">
        <x:v>External dealer identity</x:v>
      </x:c>
      <x:c r="B22" s="49" t="str">
        <x:v>Removed</x:v>
      </x:c>
      <x:c r="C22" s="59" t="str">
        <x:v>All external dealership references were removed. Records are assigned to fictional store GSA-003.</x:v>
      </x:c>
      <x:c r="D22" s="59"/>
      <x:c r="E22" s="59"/>
      <x:c r="F22" s="59"/>
      <x:c r="G22" s="59"/>
      <x:c r="H22" s="60"/>
    </x:row>
    <x:row r="23" ht="36" customHeight="1">
      <x:c r="A23" s="48" t="str">
        <x:v>External locations</x:v>
      </x:c>
      <x:c r="B23" s="49" t="str">
        <x:v>Consolidated</x:v>
      </x:c>
      <x:c r="C23" s="59" t="str">
        <x:v>The public source represented more than one real retail location. The sanitized portfolio artifact assigns all rows to one fictional used-vehicle store.</x:v>
      </x:c>
      <x:c r="D23" s="59"/>
      <x:c r="E23" s="59"/>
      <x:c r="F23" s="59"/>
      <x:c r="G23" s="59"/>
      <x:c r="H23" s="60"/>
    </x:row>
    <x:row r="24" ht="36" customHeight="1">
      <x:c r="A24" s="50" t="str">
        <x:v>Record identity</x:v>
      </x:c>
      <x:c r="B24" s="51" t="str">
        <x:v>318 generated</x:v>
      </x:c>
      <x:c r="C24" s="61" t="str">
        <x:v>Synthetic source record IDs and listing-stable vehicle identifiers support repeatable ingestion of this indexed snapshot.</x:v>
      </x:c>
      <x:c r="D24" s="61"/>
      <x:c r="E24" s="61"/>
      <x:c r="F24" s="61"/>
      <x:c r="G24" s="61"/>
      <x:c r="H24" s="62"/>
    </x:row>
    <x:row r="26">
      <x:c r="A26" s="33" t="str">
        <x:v>Identity limitation</x:v>
      </x:c>
      <x:c r="B26" s="33"/>
      <x:c r="C26" s="33"/>
      <x:c r="D26" s="33"/>
      <x:c r="E26" s="33"/>
      <x:c r="F26" s="33"/>
      <x:c r="G26" s="33"/>
      <x:c r="H26" s="33"/>
    </x:row>
    <x:row r="27" ht="28" customHeight="1">
      <x:c r="A27" s="88" t="str">
        <x:v>The source did not expose VINs. Synthetic Vehicle ID and Synthetic VIN are therefore derived from the private public-listing key embedded in each removed source URL. They are stable for this source listing, but they are not guaranteed to identify the same physical vehicle if the source republishes it under a different listing key. Do not use them to infer cross-source VIN identity or dealer trades.</x:v>
      </x:c>
      <x:c r="B27" s="89"/>
      <x:c r="C27" s="89"/>
      <x:c r="D27" s="89"/>
      <x:c r="E27" s="89"/>
      <x:c r="F27" s="89"/>
      <x:c r="G27" s="89"/>
      <x:c r="H27" s="90"/>
    </x:row>
    <x:row r="28" ht="28" customHeight="1">
      <x:c r="A28" s="91"/>
      <x:c r="B28" s="92"/>
      <x:c r="C28" s="92"/>
      <x:c r="D28" s="92"/>
      <x:c r="E28" s="92"/>
      <x:c r="F28" s="92"/>
      <x:c r="G28" s="92"/>
      <x:c r="H28" s="93"/>
    </x:row>
    <x:row r="29" ht="28" customHeight="1">
      <x:c r="A29" s="91"/>
      <x:c r="B29" s="92"/>
      <x:c r="C29" s="92"/>
      <x:c r="D29" s="92"/>
      <x:c r="E29" s="92"/>
      <x:c r="F29" s="92"/>
      <x:c r="G29" s="92"/>
      <x:c r="H29" s="93"/>
    </x:row>
    <x:row r="30" ht="28" customHeight="1">
      <x:c r="A30" s="94"/>
      <x:c r="B30" s="95"/>
      <x:c r="C30" s="95"/>
      <x:c r="D30" s="95"/>
      <x:c r="E30" s="95"/>
      <x:c r="F30" s="95"/>
      <x:c r="G30" s="95"/>
      <x:c r="H30" s="96"/>
    </x:row>
    <x:row r="32">
      <x:c r="A32" s="33" t="str">
        <x:v>Coverage and pricing limitation</x:v>
      </x:c>
      <x:c r="B32" s="33"/>
      <x:c r="C32" s="33"/>
      <x:c r="D32" s="33"/>
      <x:c r="E32" s="33"/>
      <x:c r="F32" s="33"/>
      <x:c r="G32" s="33"/>
      <x:c r="H32" s="33"/>
    </x:row>
    <x:row r="33" ht="28" customHeight="1">
      <x:c r="A33" s="144" t="str">
        <x:v>This workbook represents all 318 records exposed by the public indexed inventory source at capture time, not a confidential dealer-management-system export. Price and mileage were exposed for only 31 records. The remaining 287 rows are labeled Price not exposed, which is distinct from Call for price. Indexed inventory can differ from the live retail site and can change after capture.</x:v>
      </x:c>
      <x:c r="B33" s="145"/>
      <x:c r="C33" s="145"/>
      <x:c r="D33" s="145"/>
      <x:c r="E33" s="145"/>
      <x:c r="F33" s="145"/>
      <x:c r="G33" s="145"/>
      <x:c r="H33" s="146"/>
    </x:row>
    <x:row r="34" ht="28" customHeight="1">
      <x:c r="A34" s="147"/>
      <x:c r="B34" s="148"/>
      <x:c r="C34" s="148"/>
      <x:c r="D34" s="148"/>
      <x:c r="E34" s="148"/>
      <x:c r="F34" s="148"/>
      <x:c r="G34" s="148"/>
      <x:c r="H34" s="149"/>
    </x:row>
    <x:row r="35" ht="28" customHeight="1">
      <x:c r="A35" s="147"/>
      <x:c r="B35" s="148"/>
      <x:c r="C35" s="148"/>
      <x:c r="D35" s="148"/>
      <x:c r="E35" s="148"/>
      <x:c r="F35" s="148"/>
      <x:c r="G35" s="148"/>
      <x:c r="H35" s="149"/>
    </x:row>
    <x:row r="36" ht="28" customHeight="1">
      <x:c r="A36" s="150"/>
      <x:c r="B36" s="151"/>
      <x:c r="C36" s="151"/>
      <x:c r="D36" s="151"/>
      <x:c r="E36" s="151"/>
      <x:c r="F36" s="151"/>
      <x:c r="G36" s="151"/>
      <x:c r="H36" s="152"/>
    </x:row>
    <x:row r="38">
      <x:c r="A38" s="33" t="str">
        <x:v>Business semantics and limitations</x:v>
      </x:c>
      <x:c r="B38" s="33"/>
      <x:c r="C38" s="33"/>
      <x:c r="D38" s="33"/>
      <x:c r="E38" s="33"/>
      <x:c r="F38" s="33"/>
      <x:c r="G38" s="33"/>
      <x:c r="H38" s="33"/>
    </x:row>
    <x:row r="39" ht="46" customHeight="1">
      <x:c r="A39" s="16" t="str">
        <x:v>Observed listing</x:v>
      </x:c>
      <x:c r="B39" s="58" t="str">
        <x:v>A row proves that a listing existed in the indexed public source. It does not prove physical on-ground status or dealer ownership.</x:v>
      </x:c>
    </x:row>
    <x:row r="40" ht="46" customHeight="1">
      <x:c r="A40" s="18" t="str">
        <x:v>Advertised price</x:v>
      </x:c>
      <x:c r="B40" s="60" t="str">
        <x:v>The listed price is not transaction price, acquisition cost, inventory investment, MSRP, or gross.</x:v>
      </x:c>
    </x:row>
    <x:row r="41" ht="46" customHeight="1">
      <x:c r="A41" s="18" t="str">
        <x:v>Price not exposed</x:v>
      </x:c>
      <x:c r="B41" s="60" t="str">
        <x:v>The public indexed source did not expose a price. This does not mean the dealer intentionally used a call-for-price strategy.</x:v>
      </x:c>
    </x:row>
    <x:row r="42" ht="46" customHeight="1">
      <x:c r="A42" s="18" t="str">
        <x:v>Removed listing</x:v>
      </x:c>
      <x:c r="B42" s="60" t="str">
        <x:v>A future disappearance means removed from listing, not necessarily sold. It could reflect sale, trade, wholesale, feed suppression, or error.</x:v>
      </x:c>
    </x:row>
    <x:row r="43" ht="46" customHeight="1">
      <x:c r="A43" s="18" t="str">
        <x:v>Days observed online</x:v>
      </x:c>
      <x:c r="B43" s="60" t="str">
        <x:v>Future repeated snapshots may calculate days observed online. That must not be labeled days in stock.</x:v>
      </x:c>
    </x:row>
    <x:row r="44" ht="46" customHeight="1">
      <x:c r="A44" s="20" t="str">
        <x:v>Reference classification</x:v>
      </x:c>
      <x:c r="B44" s="62" t="str">
        <x:v>Dealer identity is fictional. Model, trim, condition, limited mileage, limited price, and inventory-mix attributes remain a de-identified public reference snapshot.</x:v>
      </x:c>
    </x:row>
    <x:row r="46">
      <x:c r="A46" s="33" t="str">
        <x:v>Repository placement and ingestion contract</x:v>
      </x:c>
      <x:c r="B46" s="33"/>
      <x:c r="C46" s="33"/>
      <x:c r="D46" s="33"/>
      <x:c r="E46" s="33"/>
      <x:c r="F46" s="33"/>
      <x:c r="G46" s="33"/>
      <x:c r="H46" s="33"/>
    </x:row>
    <x:row r="47" ht="38" customHeight="1">
      <x:c r="A47" s="16" t="str">
        <x:v>Canonical filename</x:v>
      </x:c>
      <x:c r="B47" s="58" t="str">
        <x:v>ARPI_Granite_Used_Auto_Center_Inventory_Sanitized_2026-08-02.xlsx</x:v>
      </x:c>
    </x:row>
    <x:row r="48" ht="38" customHeight="1">
      <x:c r="A48" s="18" t="str">
        <x:v>Recommended repository path</x:v>
      </x:c>
      <x:c r="B48" s="60" t="str">
        <x:v>data/reference/inventory/gsa-003/2026-08-02/ARPI_Granite_Used_Auto_Center_Inventory_Sanitized_2026-08-02.xlsx</x:v>
      </x:c>
    </x:row>
    <x:row r="49" ht="38" customHeight="1">
      <x:c r="A49" s="18" t="str">
        <x:v>Raw source policy</x:v>
      </x:c>
      <x:c r="B49" s="60" t="str">
        <x:v>Keep the original unsanitized workbook outside Git and outside the repository.</x:v>
      </x:c>
    </x:row>
    <x:row r="50" ht="38" customHeight="1">
      <x:c r="A50" s="18" t="str">
        <x:v>Intended adapter</x:v>
      </x:c>
      <x:c r="B50" s="60" t="str">
        <x:v>scripts/import_inventory_snapshot.py</x:v>
      </x:c>
    </x:row>
    <x:row r="51" ht="38" customHeight="1">
      <x:c r="A51" s="18" t="str">
        <x:v>Target source entity</x:v>
      </x:c>
      <x:c r="B51" s="60" t="str">
        <x:v>inventory_listing_snapshot</x:v>
      </x:c>
    </x:row>
    <x:row r="52" ht="38" customHeight="1">
      <x:c r="A52" s="20" t="str">
        <x:v>Target warehouse fact</x:v>
      </x:c>
      <x:c r="B52" s="62" t="str">
        <x:v>warehouse.fact_vehicle_listing_snapshot</x:v>
      </x:c>
    </x:row>
    <x:row r="54" ht="48" customHeight="1">
      <x:c r="A54" s="181" t="str">
        <x:v>Governance requirement</x:v>
      </x:c>
      <x:c r="B54" s="185" t="str">
        <x:v>Commit only under data/reference after the approved sanitized-public-reference ADR and repository policy are in place. Do not place this artifact under data/sample.</x:v>
      </x:c>
    </x:row>
    <x:row r="56">
      <x:c r="A56" s="33" t="str">
        <x:v>Published reference notice</x:v>
      </x:c>
      <x:c r="B56" s="33"/>
      <x:c r="C56" s="33"/>
      <x:c r="D56" s="33"/>
      <x:c r="E56" s="33"/>
      <x:c r="F56" s="33"/>
      <x:c r="G56" s="33"/>
      <x:c r="H56" s="33"/>
    </x:row>
    <x:row r="57" ht="28" customHeight="1">
      <x:c r="A57" s="206" t="str">
        <x:v>Granite State Auto Group and Granite Used Auto Center of Merrimack are fictional. Original source URLs, source listing keys, real dealership identity, and real locations have been removed. This workbook is not fully synthetic: vehicle attributes and the limited exposed price and mileage values remain a de-identified public reference snapshot. Do not present these rows as confidential DMS inventory, complete live inventory, dealer ownership, completed sales, or transaction results.</x:v>
      </x:c>
      <x:c r="B57" s="207"/>
      <x:c r="C57" s="207"/>
      <x:c r="D57" s="207"/>
      <x:c r="E57" s="207"/>
      <x:c r="F57" s="207"/>
      <x:c r="G57" s="207"/>
      <x:c r="H57" s="208"/>
    </x:row>
    <x:row r="58" ht="28" customHeight="1">
      <x:c r="A58" s="209"/>
      <x:c r="B58" s="210"/>
      <x:c r="C58" s="210"/>
      <x:c r="D58" s="210"/>
      <x:c r="E58" s="210"/>
      <x:c r="F58" s="210"/>
      <x:c r="G58" s="210"/>
      <x:c r="H58" s="211"/>
    </x:row>
    <x:row r="59" ht="28" customHeight="1">
      <x:c r="A59" s="209"/>
      <x:c r="B59" s="210"/>
      <x:c r="C59" s="210"/>
      <x:c r="D59" s="210"/>
      <x:c r="E59" s="210"/>
      <x:c r="F59" s="210"/>
      <x:c r="G59" s="210"/>
      <x:c r="H59" s="211"/>
    </x:row>
    <x:row r="60" ht="28" customHeight="1">
      <x:c r="A60" s="212"/>
      <x:c r="B60" s="213"/>
      <x:c r="C60" s="213"/>
      <x:c r="D60" s="213"/>
      <x:c r="E60" s="213"/>
      <x:c r="F60" s="213"/>
      <x:c r="G60" s="213"/>
      <x:c r="H60" s="214"/>
    </x:row>
  </x:sheetData>
  <x:mergeCells>
    <x:mergeCell ref="A1:H2"/>
    <x:mergeCell ref="A17:H17"/>
    <x:mergeCell ref="C19:H19"/>
    <x:mergeCell ref="C20:H20"/>
    <x:mergeCell ref="C21:H21"/>
    <x:mergeCell ref="C22:H22"/>
    <x:mergeCell ref="C23:H23"/>
    <x:mergeCell ref="C24:H24"/>
    <x:mergeCell ref="A26:H26"/>
    <x:mergeCell ref="A27:H30"/>
    <x:mergeCell ref="A32:H32"/>
    <x:mergeCell ref="A33:H36"/>
    <x:mergeCell ref="A38:H38"/>
    <x:mergeCell ref="A46:H46"/>
    <x:mergeCell ref="A56:H56"/>
    <x:mergeCell ref="A57:H60"/>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34" hidden="0" customWidth="1"/>
    <x:col min="3" max="3" width="25" hidden="0" customWidth="1"/>
    <x:col min="4" max="4" width="22" hidden="0" customWidth="1"/>
    <x:col min="5" max="5" width="15" hidden="0" customWidth="1"/>
    <x:col min="6" max="6" width="15" hidden="0" customWidth="1"/>
    <x:col min="7" max="7" width="15" hidden="0" customWidth="1"/>
    <x:col min="8" max="8" width="15" hidden="0" customWidth="1"/>
  </x:cols>
  <x:sheetData>
    <x:row r="1" ht="28" customHeight="1">
      <x:c r="A1" s="5" t="str">
        <x:v>ARPI Inventory Operations | Granite Used Auto Center of Merrimack</x:v>
      </x:c>
      <x:c r="B1" s="5"/>
      <x:c r="C1" s="5"/>
      <x:c r="D1" s="5"/>
      <x:c r="E1" s="5"/>
      <x:c r="F1" s="5"/>
      <x:c r="G1" s="5"/>
      <x:c r="H1" s="5"/>
    </x:row>
    <x:row r="2" ht="28" customHeight="1">
      <x:c r="A2" s="5"/>
      <x:c r="B2" s="5"/>
      <x:c r="C2" s="5"/>
      <x:c r="D2" s="5"/>
      <x:c r="E2" s="5"/>
      <x:c r="F2" s="5"/>
      <x:c r="G2" s="5"/>
      <x:c r="H2" s="5"/>
    </x:row>
    <x:row r="4">
      <x:c r="A4" s="16" t="str">
        <x:v>Dealer group</x:v>
      </x:c>
      <x:c r="B4" s="17" t="str">
        <x:v>Granite State Auto Group</x:v>
      </x:c>
      <x:c r="D4" s="261" t="str">
        <x:v>Pricing status</x:v>
      </x:c>
      <x:c r="E4" s="262" t="str">
        <x:v>Count</x:v>
      </x:c>
    </x:row>
    <x:row r="5">
      <x:c r="A5" s="18" t="str">
        <x:v>Store</x:v>
      </x:c>
      <x:c r="B5" s="19" t="str">
        <x:v>Granite Used Auto Center of Merrimack</x:v>
      </x:c>
      <x:c r="D5" s="18" t="str">
        <x:v>Listed</x:v>
      </x:c>
      <x:c r="E5" s="265" t="n">
        <x:f>COUNTIF(Inventory!$O$2:$O$319,"Listed")</x:f>
        <x:v>31</x:v>
      </x:c>
    </x:row>
    <x:row r="6">
      <x:c r="A6" s="18" t="str">
        <x:v>Dealership ID</x:v>
      </x:c>
      <x:c r="B6" s="19" t="str">
        <x:v>GSA-003</x:v>
      </x:c>
      <x:c r="D6" s="18" t="str">
        <x:v>Price not exposed</x:v>
      </x:c>
      <x:c r="E6" s="265" t="n">
        <x:f>COUNTIF(Inventory!$O$2:$O$319,"Price not exposed")</x:f>
        <x:v>287</x:v>
      </x:c>
    </x:row>
    <x:row r="7">
      <x:c r="A7" s="18" t="str">
        <x:v>Market</x:v>
      </x:c>
      <x:c r="B7" s="19" t="str">
        <x:v>Southern New Hampshire</x:v>
      </x:c>
      <x:c r="D7" s="18" t="str">
        <x:v>Mileage exposed</x:v>
      </x:c>
      <x:c r="E7" s="265" t="n">
        <x:f>COUNT(Inventory!$M$2:$M$319)</x:f>
        <x:v>31</x:v>
      </x:c>
    </x:row>
    <x:row r="8">
      <x:c r="A8" s="18" t="str">
        <x:v>Snapshot date</x:v>
      </x:c>
      <x:c r="B8" s="28" t="n">
        <x:v>46236</x:v>
      </x:c>
      <x:c r="D8" s="20" t="str">
        <x:v>Mileage not exposed</x:v>
      </x:c>
      <x:c r="E8" s="273" t="n">
        <x:f>COUNTA(Inventory!$A$2:$A$319)-COUNT(Inventory!$M$2:$M$319)</x:f>
        <x:v>287</x:v>
      </x:c>
    </x:row>
    <x:row r="9">
      <x:c r="A9" s="20" t="str">
        <x:v>Coverage</x:v>
      </x:c>
      <x:c r="B9" s="21" t="str">
        <x:v>Complete indexed public listing snapshot</x:v>
      </x:c>
    </x:row>
    <x:row r="11">
      <x:c r="A11" s="261" t="str">
        <x:v>Metric</x:v>
      </x:c>
      <x:c r="B11" s="262" t="str">
        <x:v>Value</x:v>
      </x:c>
    </x:row>
    <x:row r="12">
      <x:c r="A12" s="18" t="str">
        <x:v>Indexed reference listings</x:v>
      </x:c>
      <x:c r="B12" s="265" t="n">
        <x:f>COUNTA(Inventory!$A$2:$A$319)</x:f>
        <x:v>318</x:v>
      </x:c>
    </x:row>
    <x:row r="13">
      <x:c r="A13" s="18" t="str">
        <x:v>New vehicles</x:v>
      </x:c>
      <x:c r="B13" s="265" t="n">
        <x:f>COUNTIF(Inventory!$G$2:$G$319,"New")</x:f>
        <x:v>0</x:v>
      </x:c>
    </x:row>
    <x:row r="14">
      <x:c r="A14" s="18" t="str">
        <x:v>Used vehicles</x:v>
      </x:c>
      <x:c r="B14" s="265" t="n">
        <x:f>COUNTIF(Inventory!$G$2:$G$319,"Used")</x:f>
        <x:v>318</x:v>
      </x:c>
    </x:row>
    <x:row r="15">
      <x:c r="A15" s="18" t="str">
        <x:v>Vehicles with listed price</x:v>
      </x:c>
      <x:c r="B15" s="265" t="n">
        <x:f>COUNTIF(Inventory!$O$2:$O$319,"Listed")</x:f>
        <x:v>31</x:v>
      </x:c>
    </x:row>
    <x:row r="16">
      <x:c r="A16" s="18" t="str">
        <x:v>Price not exposed</x:v>
      </x:c>
      <x:c r="B16" s="265" t="n">
        <x:f>COUNTIF(Inventory!$O$2:$O$319,"Price not exposed")</x:f>
        <x:v>287</x:v>
      </x:c>
    </x:row>
    <x:row r="17">
      <x:c r="A17" s="18" t="str">
        <x:v>Pricing completeness</x:v>
      </x:c>
      <x:c r="B17" s="267" t="n">
        <x:f>IF(B12=0,0,B15/B12)</x:f>
        <x:v>0.09748427672955975</x:v>
      </x:c>
    </x:row>
    <x:row r="18">
      <x:c r="A18" s="18" t="str">
        <x:v>Vehicles with mileage exposed</x:v>
      </x:c>
      <x:c r="B18" s="265" t="n">
        <x:f>COUNT(Inventory!$M$2:$M$319)</x:f>
        <x:v>31</x:v>
      </x:c>
    </x:row>
    <x:row r="19">
      <x:c r="A19" s="18" t="str">
        <x:v>Total advertised listing value</x:v>
      </x:c>
      <x:c r="B19" s="269" t="n">
        <x:f>SUM(Inventory!$N$2:$N$319)</x:f>
        <x:v>658840</x:v>
      </x:c>
    </x:row>
    <x:row r="20">
      <x:c r="A20" s="20" t="str">
        <x:v>Average advertised price</x:v>
      </x:c>
      <x:c r="B20" s="270" t="n">
        <x:f>IF(B15=0,0,B19/B15)</x:f>
        <x:v>21252.90322580645</x:v>
      </x:c>
    </x:row>
    <x:row r="22">
      <x:c r="A22" s="33" t="str">
        <x:v>Governed interpretation</x:v>
      </x:c>
      <x:c r="B22" s="33"/>
      <x:c r="C22" s="33"/>
      <x:c r="D22" s="33"/>
      <x:c r="E22" s="33"/>
      <x:c r="F22" s="33"/>
      <x:c r="G22" s="33"/>
      <x:c r="H22" s="33"/>
    </x:row>
    <x:row r="23">
      <x:c r="A23" s="293" t="str">
        <x:v>This report describes 318 records visible in an indexed public listing source and assigns them to the fictional Granite Used Auto Center of Merrimack. It is not a confidential DMS export and does not prove dealer ownership or physical availability. Price and mileage were exposed for only 31 records. Price not exposed is a source-availability status, not a dealer call-for-price strategy. Listing disappearance does not prove a sale.</x:v>
      </x:c>
      <x:c r="B23" s="294"/>
      <x:c r="C23" s="294"/>
      <x:c r="D23" s="294"/>
      <x:c r="E23" s="294"/>
      <x:c r="F23" s="294"/>
      <x:c r="G23" s="294"/>
      <x:c r="H23" s="295"/>
    </x:row>
    <x:row r="24">
      <x:c r="A24" s="296"/>
      <x:c r="B24" s="297"/>
      <x:c r="C24" s="297"/>
      <x:c r="D24" s="297"/>
      <x:c r="E24" s="297"/>
      <x:c r="F24" s="297"/>
      <x:c r="G24" s="297"/>
      <x:c r="H24" s="298"/>
    </x:row>
    <x:row r="25">
      <x:c r="A25" s="296"/>
      <x:c r="B25" s="297"/>
      <x:c r="C25" s="297"/>
      <x:c r="D25" s="297"/>
      <x:c r="E25" s="297"/>
      <x:c r="F25" s="297"/>
      <x:c r="G25" s="297"/>
      <x:c r="H25" s="298"/>
    </x:row>
    <x:row r="26">
      <x:c r="A26" s="296"/>
      <x:c r="B26" s="297"/>
      <x:c r="C26" s="297"/>
      <x:c r="D26" s="297"/>
      <x:c r="E26" s="297"/>
      <x:c r="F26" s="297"/>
      <x:c r="G26" s="297"/>
      <x:c r="H26" s="298"/>
    </x:row>
    <x:row r="27">
      <x:c r="A27" s="299"/>
      <x:c r="B27" s="300"/>
      <x:c r="C27" s="300"/>
      <x:c r="D27" s="300"/>
      <x:c r="E27" s="300"/>
      <x:c r="F27" s="300"/>
      <x:c r="G27" s="300"/>
      <x:c r="H27" s="301"/>
    </x:row>
    <x:row r="29">
      <x:c r="A29" s="33" t="str">
        <x:v>Top indexed models</x:v>
      </x:c>
      <x:c r="B29" s="33"/>
      <x:c r="C29" s="33"/>
      <x:c r="D29" s="33"/>
      <x:c r="E29" s="33"/>
      <x:c r="F29" s="33"/>
      <x:c r="G29" s="33"/>
      <x:c r="H29" s="33"/>
    </x:row>
    <x:row r="30">
      <x:c r="A30" s="261" t="str">
        <x:v>Condition</x:v>
      </x:c>
      <x:c r="B30" s="329" t="str">
        <x:v>Make</x:v>
      </x:c>
      <x:c r="C30" s="329" t="str">
        <x:v>Model</x:v>
      </x:c>
      <x:c r="D30" s="262" t="str">
        <x:v>Units</x:v>
      </x:c>
    </x:row>
    <x:row r="31">
      <x:c r="A31" s="48" t="str">
        <x:v>Used</x:v>
      </x:c>
      <x:c r="B31" s="49" t="str">
        <x:v>Nissan</x:v>
      </x:c>
      <x:c r="C31" s="49" t="str">
        <x:v>Rogue</x:v>
      </x:c>
      <x:c r="D31" s="331" t="n">
        <x:f>COUNTIFS(Inventory!$G$2:$G$319,A31,Inventory!$I$2:$I$319,B31,Inventory!$J$2:$J$319,C31)</x:f>
        <x:v>16</x:v>
      </x:c>
    </x:row>
    <x:row r="32">
      <x:c r="A32" s="48" t="str">
        <x:v>Used</x:v>
      </x:c>
      <x:c r="B32" s="49" t="str">
        <x:v>Ram</x:v>
      </x:c>
      <x:c r="C32" s="49" t="str">
        <x:v>1500</x:v>
      </x:c>
      <x:c r="D32" s="331" t="n">
        <x:f>COUNTIFS(Inventory!$G$2:$G$319,A32,Inventory!$I$2:$I$319,B32,Inventory!$J$2:$J$319,C32)</x:f>
        <x:v>13</x:v>
      </x:c>
    </x:row>
    <x:row r="33">
      <x:c r="A33" s="48" t="str">
        <x:v>Used</x:v>
      </x:c>
      <x:c r="B33" s="49" t="str">
        <x:v>Ford</x:v>
      </x:c>
      <x:c r="C33" s="49" t="str">
        <x:v>F-150</x:v>
      </x:c>
      <x:c r="D33" s="331" t="n">
        <x:f>COUNTIFS(Inventory!$G$2:$G$319,A33,Inventory!$I$2:$I$319,B33,Inventory!$J$2:$J$319,C33)</x:f>
        <x:v>9</x:v>
      </x:c>
    </x:row>
    <x:row r="34">
      <x:c r="A34" s="48" t="str">
        <x:v>Used</x:v>
      </x:c>
      <x:c r="B34" s="49" t="str">
        <x:v>BMW</x:v>
      </x:c>
      <x:c r="C34" s="49" t="str">
        <x:v>X5</x:v>
      </x:c>
      <x:c r="D34" s="331" t="n">
        <x:f>COUNTIFS(Inventory!$G$2:$G$319,A34,Inventory!$I$2:$I$319,B34,Inventory!$J$2:$J$319,C34)</x:f>
        <x:v>8</x:v>
      </x:c>
    </x:row>
    <x:row r="35">
      <x:c r="A35" s="48" t="str">
        <x:v>Used</x:v>
      </x:c>
      <x:c r="B35" s="49" t="str">
        <x:v>Chevrolet</x:v>
      </x:c>
      <x:c r="C35" s="49" t="str">
        <x:v>Silverado 1500</x:v>
      </x:c>
      <x:c r="D35" s="331" t="n">
        <x:f>COUNTIFS(Inventory!$G$2:$G$319,A35,Inventory!$I$2:$I$319,B35,Inventory!$J$2:$J$319,C35)</x:f>
        <x:v>8</x:v>
      </x:c>
    </x:row>
    <x:row r="36">
      <x:c r="A36" s="48" t="str">
        <x:v>Used</x:v>
      </x:c>
      <x:c r="B36" s="49" t="str">
        <x:v>Ford</x:v>
      </x:c>
      <x:c r="C36" s="49" t="str">
        <x:v>Escape</x:v>
      </x:c>
      <x:c r="D36" s="331" t="n">
        <x:f>COUNTIFS(Inventory!$G$2:$G$319,A36,Inventory!$I$2:$I$319,B36,Inventory!$J$2:$J$319,C36)</x:f>
        <x:v>8</x:v>
      </x:c>
    </x:row>
    <x:row r="37">
      <x:c r="A37" s="48" t="str">
        <x:v>Used</x:v>
      </x:c>
      <x:c r="B37" s="49" t="str">
        <x:v>Jeep</x:v>
      </x:c>
      <x:c r="C37" s="49" t="str">
        <x:v>Compass</x:v>
      </x:c>
      <x:c r="D37" s="331" t="n">
        <x:f>COUNTIFS(Inventory!$G$2:$G$319,A37,Inventory!$I$2:$I$319,B37,Inventory!$J$2:$J$319,C37)</x:f>
        <x:v>8</x:v>
      </x:c>
    </x:row>
    <x:row r="38">
      <x:c r="A38" s="48" t="str">
        <x:v>Used</x:v>
      </x:c>
      <x:c r="B38" s="49" t="str">
        <x:v>Jeep</x:v>
      </x:c>
      <x:c r="C38" s="49" t="str">
        <x:v>Grand Cherokee</x:v>
      </x:c>
      <x:c r="D38" s="331" t="n">
        <x:f>COUNTIFS(Inventory!$G$2:$G$319,A38,Inventory!$I$2:$I$319,B38,Inventory!$J$2:$J$319,C38)</x:f>
        <x:v>8</x:v>
      </x:c>
    </x:row>
    <x:row r="39">
      <x:c r="A39" s="48" t="str">
        <x:v>Used</x:v>
      </x:c>
      <x:c r="B39" s="49" t="str">
        <x:v>Chevrolet</x:v>
      </x:c>
      <x:c r="C39" s="49" t="str">
        <x:v>Equinox</x:v>
      </x:c>
      <x:c r="D39" s="331" t="n">
        <x:f>COUNTIFS(Inventory!$G$2:$G$319,A39,Inventory!$I$2:$I$319,B39,Inventory!$J$2:$J$319,C39)</x:f>
        <x:v>6</x:v>
      </x:c>
    </x:row>
    <x:row r="40">
      <x:c r="A40" s="48" t="str">
        <x:v>Used</x:v>
      </x:c>
      <x:c r="B40" s="49" t="str">
        <x:v>Chevrolet</x:v>
      </x:c>
      <x:c r="C40" s="49" t="str">
        <x:v>Silverado 2500HD</x:v>
      </x:c>
      <x:c r="D40" s="331" t="n">
        <x:f>COUNTIFS(Inventory!$G$2:$G$319,A40,Inventory!$I$2:$I$319,B40,Inventory!$J$2:$J$319,C40)</x:f>
        <x:v>6</x:v>
      </x:c>
    </x:row>
    <x:row r="41">
      <x:c r="A41" s="48" t="str">
        <x:v>Used</x:v>
      </x:c>
      <x:c r="B41" s="49" t="str">
        <x:v>Nissan</x:v>
      </x:c>
      <x:c r="C41" s="49" t="str">
        <x:v>Pathfinder</x:v>
      </x:c>
      <x:c r="D41" s="331" t="n">
        <x:f>COUNTIFS(Inventory!$G$2:$G$319,A41,Inventory!$I$2:$I$319,B41,Inventory!$J$2:$J$319,C41)</x:f>
        <x:v>6</x:v>
      </x:c>
    </x:row>
    <x:row r="42">
      <x:c r="A42" s="50" t="str">
        <x:v>Used</x:v>
      </x:c>
      <x:c r="B42" s="51" t="str">
        <x:v>Ram</x:v>
      </x:c>
      <x:c r="C42" s="51" t="str">
        <x:v>1500 Classic</x:v>
      </x:c>
      <x:c r="D42" s="332" t="n">
        <x:f>COUNTIFS(Inventory!$G$2:$G$319,A42,Inventory!$I$2:$I$319,B42,Inventory!$J$2:$J$319,C42)</x:f>
        <x:v>6</x:v>
      </x:c>
    </x:row>
    <x:row r="46">
      <x:c r="A46" s="33" t="str">
        <x:v>Sanitized public reference notice</x:v>
      </x:c>
      <x:c r="B46" s="33"/>
      <x:c r="C46" s="33"/>
      <x:c r="D46" s="33"/>
      <x:c r="E46" s="33"/>
      <x:c r="F46" s="33"/>
      <x:c r="G46" s="33"/>
      <x:c r="H46" s="33"/>
    </x:row>
    <x:row r="47">
      <x:c r="A47" s="206" t="str">
        <x:v>Granite State Auto Group and its stores are fictional. Original source URLs, source listing keys, real dealership identity, and real locations are removed. Vehicle attributes and limited exposed pricing and mileage remain a de-identified public reference snapshot. Do not present this artifact as complete live DMS inventory, dealer ownership, current performance, completed sales, or transaction results.</x:v>
      </x:c>
      <x:c r="B47" s="207"/>
      <x:c r="C47" s="207"/>
      <x:c r="D47" s="207"/>
      <x:c r="E47" s="207"/>
      <x:c r="F47" s="207"/>
      <x:c r="G47" s="207"/>
      <x:c r="H47" s="208"/>
    </x:row>
    <x:row r="48">
      <x:c r="A48" s="209"/>
      <x:c r="B48" s="210"/>
      <x:c r="C48" s="210"/>
      <x:c r="D48" s="210"/>
      <x:c r="E48" s="210"/>
      <x:c r="F48" s="210"/>
      <x:c r="G48" s="210"/>
      <x:c r="H48" s="211"/>
    </x:row>
    <x:row r="49">
      <x:c r="A49" s="209"/>
      <x:c r="B49" s="210"/>
      <x:c r="C49" s="210"/>
      <x:c r="D49" s="210"/>
      <x:c r="E49" s="210"/>
      <x:c r="F49" s="210"/>
      <x:c r="G49" s="210"/>
      <x:c r="H49" s="211"/>
    </x:row>
    <x:row r="50">
      <x:c r="A50" s="209"/>
      <x:c r="B50" s="210"/>
      <x:c r="C50" s="210"/>
      <x:c r="D50" s="210"/>
      <x:c r="E50" s="210"/>
      <x:c r="F50" s="210"/>
      <x:c r="G50" s="210"/>
      <x:c r="H50" s="211"/>
    </x:row>
    <x:row r="51">
      <x:c r="A51" s="212"/>
      <x:c r="B51" s="213"/>
      <x:c r="C51" s="213"/>
      <x:c r="D51" s="213"/>
      <x:c r="E51" s="213"/>
      <x:c r="F51" s="213"/>
      <x:c r="G51" s="213"/>
      <x:c r="H51" s="214"/>
    </x:row>
  </x:sheetData>
  <x:mergeCells>
    <x:mergeCell ref="A1:H2"/>
    <x:mergeCell ref="A22:H22"/>
    <x:mergeCell ref="A23:H27"/>
    <x:mergeCell ref="A29:H29"/>
    <x:mergeCell ref="A46:H46"/>
    <x:mergeCell ref="A47:H51"/>
  </x:mergeCells>
  <x:pageMargins left="0.7" right="0.7" top="0.75" bottom="0.75" header="0.3" footer="0.3"/>
  <x:drawing xmlns:r="http://schemas.openxmlformats.org/officeDocument/2006/relationships" r:id="Ra9b61e21c645476f"/>
</x:worksheet>
</file>

<file path=xl/worksheets/sheet3.xml><?xml version="1.0" encoding="utf-8"?>
<x:worksheet xmlns:x="http://schemas.openxmlformats.org/spreadsheetml/2006/main">
  <x:sheetFormatPr defaultRowHeight="15"/>
  <x:cols>
    <x:col min="1" max="1" width="23" hidden="0" customWidth="1"/>
    <x:col min="2" max="2" width="14" hidden="0" customWidth="1"/>
    <x:col min="3" max="3" width="34" hidden="0" customWidth="1"/>
    <x:col min="4" max="4" width="14" hidden="0" customWidth="1"/>
    <x:col min="5" max="5" width="22" hidden="0" customWidth="1"/>
    <x:col min="6" max="6" width="32" hidden="0" customWidth="1"/>
    <x:col min="7" max="7" width="11" hidden="0" customWidth="1"/>
    <x:col min="8" max="8" width="11" hidden="0" customWidth="1"/>
    <x:col min="9" max="9" width="18" hidden="0" customWidth="1"/>
    <x:col min="10" max="10" width="28" hidden="0" customWidth="1"/>
    <x:col min="11" max="11" width="28" hidden="0" customWidth="1"/>
    <x:col min="12" max="12" width="48" hidden="0" customWidth="1"/>
    <x:col min="13" max="13" width="15" hidden="0" customWidth="1"/>
    <x:col min="14" max="14" width="16" hidden="0" customWidth="1"/>
    <x:col min="15" max="15" width="19" hidden="0" customWidth="1"/>
    <x:col min="16" max="16" width="20" hidden="0" customWidth="1"/>
    <x:col min="17" max="17" width="20" hidden="0" customWidth="1"/>
    <x:col min="18" max="18" width="18" hidden="0" customWidth="1"/>
    <x:col min="19" max="19" width="25" hidden="0" customWidth="1"/>
  </x:cols>
  <x:sheetData>
    <x:row r="1" ht="20" customHeight="1">
      <x:c r="A1" s="41" t="str">
        <x:v>Source Record ID</x:v>
      </x:c>
      <x:c r="B1" s="41" t="str">
        <x:v>Dealership ID</x:v>
      </x:c>
      <x:c r="C1" s="41" t="str">
        <x:v>Store Name</x:v>
      </x:c>
      <x:c r="D1" s="41" t="str">
        <x:v>Captured At</x:v>
      </x:c>
      <x:c r="E1" s="41" t="str">
        <x:v>Source Batch ID</x:v>
      </x:c>
      <x:c r="F1" s="41" t="str">
        <x:v>Source Feed</x:v>
      </x:c>
      <x:c r="G1" s="41" t="str">
        <x:v>Condition</x:v>
      </x:c>
      <x:c r="H1" s="41" t="str">
        <x:v>Model Year</x:v>
      </x:c>
      <x:c r="I1" s="41" t="str">
        <x:v>Make</x:v>
      </x:c>
      <x:c r="J1" s="41" t="str">
        <x:v>Model</x:v>
      </x:c>
      <x:c r="K1" s="41" t="str">
        <x:v>Trim</x:v>
      </x:c>
      <x:c r="L1" s="41" t="str">
        <x:v>Vehicle Display</x:v>
      </x:c>
      <x:c r="M1" s="41" t="str">
        <x:v>Odometer Miles</x:v>
      </x:c>
      <x:c r="N1" s="41" t="str">
        <x:v>Advertised Price</x:v>
      </x:c>
      <x:c r="O1" s="41" t="str">
        <x:v>Pricing Status</x:v>
      </x:c>
      <x:c r="P1" s="41" t="str">
        <x:v>Synthetic Vehicle ID</x:v>
      </x:c>
      <x:c r="Q1" s="41" t="str">
        <x:v>Synthetic VIN</x:v>
      </x:c>
      <x:c r="R1" s="41" t="str">
        <x:v>Inventory Unit Count</x:v>
      </x:c>
      <x:c r="S1" s="41" t="str">
        <x:v>Data Classification</x:v>
      </x:c>
    </x:row>
    <x:row r="2" ht="20" customHeight="1">
      <x:c r="A2" s="49" t="str">
        <x:v>GSA003-20260802-0001</x:v>
      </x:c>
      <x:c r="B2" s="49" t="str">
        <x:v>GSA-003</x:v>
      </x:c>
      <x:c r="C2" s="49" t="str">
        <x:v>Granite Used Auto Center of Merrimack</x:v>
      </x:c>
      <x:c r="D2" s="245" t="n">
        <x:v>46236</x:v>
      </x:c>
      <x:c r="E2" s="49" t="str">
        <x:v>GSA003-20260802-001</x:v>
      </x:c>
      <x:c r="F2" s="49" t="str">
        <x:v>sanitized_public_inventory_reference</x:v>
      </x:c>
      <x:c r="G2" s="49" t="str">
        <x:v>Used</x:v>
      </x:c>
      <x:c r="H2" s="249" t="n">
        <x:v>2017</x:v>
      </x:c>
      <x:c r="I2" s="49" t="str">
        <x:v>Chevrolet</x:v>
      </x:c>
      <x:c r="J2" s="49" t="str">
        <x:v>Equinox</x:v>
      </x:c>
      <x:c r="K2" s="49" t="str">
        <x:v>LT</x:v>
      </x:c>
      <x:c r="L2" s="49" t="str">
        <x:v>2017 Chevrolet Equinox LT</x:v>
      </x:c>
      <x:c r="M2" s="253"/>
      <x:c r="N2" s="257"/>
      <x:c r="O2" s="49" t="str">
        <x:v>Price not exposed</x:v>
      </x:c>
      <x:c r="P2" s="49" t="str">
        <x:v>VEH-16E677B74122</x:v>
      </x:c>
      <x:c r="Q2" s="49" t="str">
        <x:v>ARPI16E677B741223</x:v>
      </x:c>
      <x:c r="R2" s="249" t="n">
        <x:v>1</x:v>
      </x:c>
      <x:c r="S2" s="49" t="str">
        <x:v>Sanitized public reference data</x:v>
      </x:c>
    </x:row>
    <x:row r="3" ht="20" customHeight="1">
      <x:c r="A3" s="49" t="str">
        <x:v>GSA003-20260802-0002</x:v>
      </x:c>
      <x:c r="B3" s="49" t="str">
        <x:v>GSA-003</x:v>
      </x:c>
      <x:c r="C3" s="49" t="str">
        <x:v>Granite Used Auto Center of Merrimack</x:v>
      </x:c>
      <x:c r="D3" s="245" t="n">
        <x:v>46236</x:v>
      </x:c>
      <x:c r="E3" s="49" t="str">
        <x:v>GSA003-20260802-001</x:v>
      </x:c>
      <x:c r="F3" s="49" t="str">
        <x:v>sanitized_public_inventory_reference</x:v>
      </x:c>
      <x:c r="G3" s="49" t="str">
        <x:v>Used</x:v>
      </x:c>
      <x:c r="H3" s="249" t="n">
        <x:v>2016</x:v>
      </x:c>
      <x:c r="I3" s="49" t="str">
        <x:v>Jeep</x:v>
      </x:c>
      <x:c r="J3" s="49" t="str">
        <x:v>Wrangler Unlimited</x:v>
      </x:c>
      <x:c r="K3" s="49" t="str">
        <x:v>Sahara</x:v>
      </x:c>
      <x:c r="L3" s="49" t="str">
        <x:v>2016 Jeep Wrangler Unlimited Sahara</x:v>
      </x:c>
      <x:c r="M3" s="253"/>
      <x:c r="N3" s="257"/>
      <x:c r="O3" s="49" t="str">
        <x:v>Price not exposed</x:v>
      </x:c>
      <x:c r="P3" s="49" t="str">
        <x:v>VEH-D742E1B17E7C</x:v>
      </x:c>
      <x:c r="Q3" s="49" t="str">
        <x:v>ARPID742E1B17E7C5</x:v>
      </x:c>
      <x:c r="R3" s="249" t="n">
        <x:v>1</x:v>
      </x:c>
      <x:c r="S3" s="49" t="str">
        <x:v>Sanitized public reference data</x:v>
      </x:c>
    </x:row>
    <x:row r="4" ht="20" customHeight="1">
      <x:c r="A4" s="49" t="str">
        <x:v>GSA003-20260802-0003</x:v>
      </x:c>
      <x:c r="B4" s="49" t="str">
        <x:v>GSA-003</x:v>
      </x:c>
      <x:c r="C4" s="49" t="str">
        <x:v>Granite Used Auto Center of Merrimack</x:v>
      </x:c>
      <x:c r="D4" s="245" t="n">
        <x:v>46236</x:v>
      </x:c>
      <x:c r="E4" s="49" t="str">
        <x:v>GSA003-20260802-001</x:v>
      </x:c>
      <x:c r="F4" s="49" t="str">
        <x:v>sanitized_public_inventory_reference</x:v>
      </x:c>
      <x:c r="G4" s="49" t="str">
        <x:v>Used</x:v>
      </x:c>
      <x:c r="H4" s="249" t="n">
        <x:v>2012</x:v>
      </x:c>
      <x:c r="I4" s="49" t="str">
        <x:v>BMW</x:v>
      </x:c>
      <x:c r="J4" s="49" t="str">
        <x:v>X5</x:v>
      </x:c>
      <x:c r="K4" s="49" t="str">
        <x:v>xDrive35i</x:v>
      </x:c>
      <x:c r="L4" s="49" t="str">
        <x:v>2012 BMW X5 xDrive35i</x:v>
      </x:c>
      <x:c r="M4" s="253"/>
      <x:c r="N4" s="257"/>
      <x:c r="O4" s="49" t="str">
        <x:v>Price not exposed</x:v>
      </x:c>
      <x:c r="P4" s="49" t="str">
        <x:v>VEH-B53AFA10D0D1</x:v>
      </x:c>
      <x:c r="Q4" s="49" t="str">
        <x:v>ARPIB53AFA10D0D11</x:v>
      </x:c>
      <x:c r="R4" s="249" t="n">
        <x:v>1</x:v>
      </x:c>
      <x:c r="S4" s="49" t="str">
        <x:v>Sanitized public reference data</x:v>
      </x:c>
    </x:row>
    <x:row r="5" ht="20" customHeight="1">
      <x:c r="A5" s="49" t="str">
        <x:v>GSA003-20260802-0004</x:v>
      </x:c>
      <x:c r="B5" s="49" t="str">
        <x:v>GSA-003</x:v>
      </x:c>
      <x:c r="C5" s="49" t="str">
        <x:v>Granite Used Auto Center of Merrimack</x:v>
      </x:c>
      <x:c r="D5" s="245" t="n">
        <x:v>46236</x:v>
      </x:c>
      <x:c r="E5" s="49" t="str">
        <x:v>GSA003-20260802-001</x:v>
      </x:c>
      <x:c r="F5" s="49" t="str">
        <x:v>sanitized_public_inventory_reference</x:v>
      </x:c>
      <x:c r="G5" s="49" t="str">
        <x:v>Used</x:v>
      </x:c>
      <x:c r="H5" s="249" t="n">
        <x:v>2017</x:v>
      </x:c>
      <x:c r="I5" s="49" t="str">
        <x:v>Acura</x:v>
      </x:c>
      <x:c r="J5" s="49" t="str">
        <x:v>RDX</x:v>
      </x:c>
      <x:c r="K5" s="49" t="str">
        <x:v>Base</x:v>
      </x:c>
      <x:c r="L5" s="49" t="str">
        <x:v>2017 Acura RDX Base</x:v>
      </x:c>
      <x:c r="M5" s="253"/>
      <x:c r="N5" s="257"/>
      <x:c r="O5" s="49" t="str">
        <x:v>Price not exposed</x:v>
      </x:c>
      <x:c r="P5" s="49" t="str">
        <x:v>VEH-30EFF6F5ED57</x:v>
      </x:c>
      <x:c r="Q5" s="49" t="str">
        <x:v>ARPI30EFF6F5ED573</x:v>
      </x:c>
      <x:c r="R5" s="249" t="n">
        <x:v>1</x:v>
      </x:c>
      <x:c r="S5" s="49" t="str">
        <x:v>Sanitized public reference data</x:v>
      </x:c>
    </x:row>
    <x:row r="6" ht="20" customHeight="1">
      <x:c r="A6" s="49" t="str">
        <x:v>GSA003-20260802-0005</x:v>
      </x:c>
      <x:c r="B6" s="49" t="str">
        <x:v>GSA-003</x:v>
      </x:c>
      <x:c r="C6" s="49" t="str">
        <x:v>Granite Used Auto Center of Merrimack</x:v>
      </x:c>
      <x:c r="D6" s="245" t="n">
        <x:v>46236</x:v>
      </x:c>
      <x:c r="E6" s="49" t="str">
        <x:v>GSA003-20260802-001</x:v>
      </x:c>
      <x:c r="F6" s="49" t="str">
        <x:v>sanitized_public_inventory_reference</x:v>
      </x:c>
      <x:c r="G6" s="49" t="str">
        <x:v>Used</x:v>
      </x:c>
      <x:c r="H6" s="249" t="n">
        <x:v>2016</x:v>
      </x:c>
      <x:c r="I6" s="49" t="str">
        <x:v>Volkswagen</x:v>
      </x:c>
      <x:c r="J6" s="49" t="str">
        <x:v>Tiguan</x:v>
      </x:c>
      <x:c r="K6" s="49" t="str">
        <x:v>S</x:v>
      </x:c>
      <x:c r="L6" s="49" t="str">
        <x:v>2016 Volkswagen Tiguan S</x:v>
      </x:c>
      <x:c r="M6" s="253"/>
      <x:c r="N6" s="257"/>
      <x:c r="O6" s="49" t="str">
        <x:v>Price not exposed</x:v>
      </x:c>
      <x:c r="P6" s="49" t="str">
        <x:v>VEH-538B69779C7B</x:v>
      </x:c>
      <x:c r="Q6" s="49" t="str">
        <x:v>ARPI538B69779C7B8</x:v>
      </x:c>
      <x:c r="R6" s="249" t="n">
        <x:v>1</x:v>
      </x:c>
      <x:c r="S6" s="49" t="str">
        <x:v>Sanitized public reference data</x:v>
      </x:c>
    </x:row>
    <x:row r="7" ht="20" customHeight="1">
      <x:c r="A7" s="49" t="str">
        <x:v>GSA003-20260802-0006</x:v>
      </x:c>
      <x:c r="B7" s="49" t="str">
        <x:v>GSA-003</x:v>
      </x:c>
      <x:c r="C7" s="49" t="str">
        <x:v>Granite Used Auto Center of Merrimack</x:v>
      </x:c>
      <x:c r="D7" s="245" t="n">
        <x:v>46236</x:v>
      </x:c>
      <x:c r="E7" s="49" t="str">
        <x:v>GSA003-20260802-001</x:v>
      </x:c>
      <x:c r="F7" s="49" t="str">
        <x:v>sanitized_public_inventory_reference</x:v>
      </x:c>
      <x:c r="G7" s="49" t="str">
        <x:v>Used</x:v>
      </x:c>
      <x:c r="H7" s="249" t="n">
        <x:v>2018</x:v>
      </x:c>
      <x:c r="I7" s="49" t="str">
        <x:v>Mazda</x:v>
      </x:c>
      <x:c r="J7" s="49" t="str">
        <x:v>CX-5</x:v>
      </x:c>
      <x:c r="K7" s="49" t="str">
        <x:v>Touring</x:v>
      </x:c>
      <x:c r="L7" s="49" t="str">
        <x:v>2018 Mazda CX-5 Touring</x:v>
      </x:c>
      <x:c r="M7" s="253"/>
      <x:c r="N7" s="257"/>
      <x:c r="O7" s="49" t="str">
        <x:v>Price not exposed</x:v>
      </x:c>
      <x:c r="P7" s="49" t="str">
        <x:v>VEH-1450212F4CDC</x:v>
      </x:c>
      <x:c r="Q7" s="49" t="str">
        <x:v>ARPI1450212F4CDC1</x:v>
      </x:c>
      <x:c r="R7" s="249" t="n">
        <x:v>1</x:v>
      </x:c>
      <x:c r="S7" s="49" t="str">
        <x:v>Sanitized public reference data</x:v>
      </x:c>
    </x:row>
    <x:row r="8" ht="20" customHeight="1">
      <x:c r="A8" s="49" t="str">
        <x:v>GSA003-20260802-0007</x:v>
      </x:c>
      <x:c r="B8" s="49" t="str">
        <x:v>GSA-003</x:v>
      </x:c>
      <x:c r="C8" s="49" t="str">
        <x:v>Granite Used Auto Center of Merrimack</x:v>
      </x:c>
      <x:c r="D8" s="245" t="n">
        <x:v>46236</x:v>
      </x:c>
      <x:c r="E8" s="49" t="str">
        <x:v>GSA003-20260802-001</x:v>
      </x:c>
      <x:c r="F8" s="49" t="str">
        <x:v>sanitized_public_inventory_reference</x:v>
      </x:c>
      <x:c r="G8" s="49" t="str">
        <x:v>Used</x:v>
      </x:c>
      <x:c r="H8" s="249" t="n">
        <x:v>2017</x:v>
      </x:c>
      <x:c r="I8" s="49" t="str">
        <x:v>Nissan</x:v>
      </x:c>
      <x:c r="J8" s="49" t="str">
        <x:v>Pathfinder</x:v>
      </x:c>
      <x:c r="K8" s="49" t="str">
        <x:v>SL</x:v>
      </x:c>
      <x:c r="L8" s="49" t="str">
        <x:v>2017 Nissan Pathfinder SL</x:v>
      </x:c>
      <x:c r="M8" s="253"/>
      <x:c r="N8" s="257"/>
      <x:c r="O8" s="49" t="str">
        <x:v>Price not exposed</x:v>
      </x:c>
      <x:c r="P8" s="49" t="str">
        <x:v>VEH-CC0F4E944AE9</x:v>
      </x:c>
      <x:c r="Q8" s="49" t="str">
        <x:v>ARPICC0F4E944AE91</x:v>
      </x:c>
      <x:c r="R8" s="249" t="n">
        <x:v>1</x:v>
      </x:c>
      <x:c r="S8" s="49" t="str">
        <x:v>Sanitized public reference data</x:v>
      </x:c>
    </x:row>
    <x:row r="9" ht="20" customHeight="1">
      <x:c r="A9" s="49" t="str">
        <x:v>GSA003-20260802-0008</x:v>
      </x:c>
      <x:c r="B9" s="49" t="str">
        <x:v>GSA-003</x:v>
      </x:c>
      <x:c r="C9" s="49" t="str">
        <x:v>Granite Used Auto Center of Merrimack</x:v>
      </x:c>
      <x:c r="D9" s="245" t="n">
        <x:v>46236</x:v>
      </x:c>
      <x:c r="E9" s="49" t="str">
        <x:v>GSA003-20260802-001</x:v>
      </x:c>
      <x:c r="F9" s="49" t="str">
        <x:v>sanitized_public_inventory_reference</x:v>
      </x:c>
      <x:c r="G9" s="49" t="str">
        <x:v>Used</x:v>
      </x:c>
      <x:c r="H9" s="249" t="n">
        <x:v>2018</x:v>
      </x:c>
      <x:c r="I9" s="49" t="str">
        <x:v>Chevrolet</x:v>
      </x:c>
      <x:c r="J9" s="49" t="str">
        <x:v>Equinox</x:v>
      </x:c>
      <x:c r="K9" s="49" t="str">
        <x:v>LT</x:v>
      </x:c>
      <x:c r="L9" s="49" t="str">
        <x:v>2018 Chevrolet Equinox LT</x:v>
      </x:c>
      <x:c r="M9" s="253"/>
      <x:c r="N9" s="257"/>
      <x:c r="O9" s="49" t="str">
        <x:v>Price not exposed</x:v>
      </x:c>
      <x:c r="P9" s="49" t="str">
        <x:v>VEH-6E7893D1FDD7</x:v>
      </x:c>
      <x:c r="Q9" s="49" t="str">
        <x:v>ARPI6E7893D1FDD7D</x:v>
      </x:c>
      <x:c r="R9" s="249" t="n">
        <x:v>1</x:v>
      </x:c>
      <x:c r="S9" s="49" t="str">
        <x:v>Sanitized public reference data</x:v>
      </x:c>
    </x:row>
    <x:row r="10" ht="20" customHeight="1">
      <x:c r="A10" s="49" t="str">
        <x:v>GSA003-20260802-0009</x:v>
      </x:c>
      <x:c r="B10" s="49" t="str">
        <x:v>GSA-003</x:v>
      </x:c>
      <x:c r="C10" s="49" t="str">
        <x:v>Granite Used Auto Center of Merrimack</x:v>
      </x:c>
      <x:c r="D10" s="245" t="n">
        <x:v>46236</x:v>
      </x:c>
      <x:c r="E10" s="49" t="str">
        <x:v>GSA003-20260802-001</x:v>
      </x:c>
      <x:c r="F10" s="49" t="str">
        <x:v>sanitized_public_inventory_reference</x:v>
      </x:c>
      <x:c r="G10" s="49" t="str">
        <x:v>Used</x:v>
      </x:c>
      <x:c r="H10" s="249" t="n">
        <x:v>2017</x:v>
      </x:c>
      <x:c r="I10" s="49" t="str">
        <x:v>BMW</x:v>
      </x:c>
      <x:c r="J10" s="49" t="str">
        <x:v>X1</x:v>
      </x:c>
      <x:c r="K10" s="49" t="str">
        <x:v>xDrive28i</x:v>
      </x:c>
      <x:c r="L10" s="49" t="str">
        <x:v>2017 BMW X1 xDrive28i</x:v>
      </x:c>
      <x:c r="M10" s="253"/>
      <x:c r="N10" s="257"/>
      <x:c r="O10" s="49" t="str">
        <x:v>Price not exposed</x:v>
      </x:c>
      <x:c r="P10" s="49" t="str">
        <x:v>VEH-D19C13A846CB</x:v>
      </x:c>
      <x:c r="Q10" s="49" t="str">
        <x:v>ARPID19C13A846CBA</x:v>
      </x:c>
      <x:c r="R10" s="249" t="n">
        <x:v>1</x:v>
      </x:c>
      <x:c r="S10" s="49" t="str">
        <x:v>Sanitized public reference data</x:v>
      </x:c>
    </x:row>
    <x:row r="11" ht="20" customHeight="1">
      <x:c r="A11" s="49" t="str">
        <x:v>GSA003-20260802-0010</x:v>
      </x:c>
      <x:c r="B11" s="49" t="str">
        <x:v>GSA-003</x:v>
      </x:c>
      <x:c r="C11" s="49" t="str">
        <x:v>Granite Used Auto Center of Merrimack</x:v>
      </x:c>
      <x:c r="D11" s="245" t="n">
        <x:v>46236</x:v>
      </x:c>
      <x:c r="E11" s="49" t="str">
        <x:v>GSA003-20260802-001</x:v>
      </x:c>
      <x:c r="F11" s="49" t="str">
        <x:v>sanitized_public_inventory_reference</x:v>
      </x:c>
      <x:c r="G11" s="49" t="str">
        <x:v>Used</x:v>
      </x:c>
      <x:c r="H11" s="249" t="n">
        <x:v>2022</x:v>
      </x:c>
      <x:c r="I11" s="49" t="str">
        <x:v>Ford</x:v>
      </x:c>
      <x:c r="J11" s="49" t="str">
        <x:v>Escape</x:v>
      </x:c>
      <x:c r="K11" s="49" t="str">
        <x:v>SEL</x:v>
      </x:c>
      <x:c r="L11" s="49" t="str">
        <x:v>2022 Ford Escape SEL</x:v>
      </x:c>
      <x:c r="M11" s="253"/>
      <x:c r="N11" s="257"/>
      <x:c r="O11" s="49" t="str">
        <x:v>Price not exposed</x:v>
      </x:c>
      <x:c r="P11" s="49" t="str">
        <x:v>VEH-4D49974AAA0A</x:v>
      </x:c>
      <x:c r="Q11" s="49" t="str">
        <x:v>ARPI4D49974AAA0A1</x:v>
      </x:c>
      <x:c r="R11" s="249" t="n">
        <x:v>1</x:v>
      </x:c>
      <x:c r="S11" s="49" t="str">
        <x:v>Sanitized public reference data</x:v>
      </x:c>
    </x:row>
    <x:row r="12" ht="20" customHeight="1">
      <x:c r="A12" s="49" t="str">
        <x:v>GSA003-20260802-0011</x:v>
      </x:c>
      <x:c r="B12" s="49" t="str">
        <x:v>GSA-003</x:v>
      </x:c>
      <x:c r="C12" s="49" t="str">
        <x:v>Granite Used Auto Center of Merrimack</x:v>
      </x:c>
      <x:c r="D12" s="245" t="n">
        <x:v>46236</x:v>
      </x:c>
      <x:c r="E12" s="49" t="str">
        <x:v>GSA003-20260802-001</x:v>
      </x:c>
      <x:c r="F12" s="49" t="str">
        <x:v>sanitized_public_inventory_reference</x:v>
      </x:c>
      <x:c r="G12" s="49" t="str">
        <x:v>Used</x:v>
      </x:c>
      <x:c r="H12" s="249" t="n">
        <x:v>2018</x:v>
      </x:c>
      <x:c r="I12" s="49" t="str">
        <x:v>Nissan</x:v>
      </x:c>
      <x:c r="J12" s="49" t="str">
        <x:v>Rogue</x:v>
      </x:c>
      <x:c r="K12" s="49" t="str">
        <x:v>SV</x:v>
      </x:c>
      <x:c r="L12" s="49" t="str">
        <x:v>2018 Nissan Rogue SV</x:v>
      </x:c>
      <x:c r="M12" s="253"/>
      <x:c r="N12" s="257"/>
      <x:c r="O12" s="49" t="str">
        <x:v>Price not exposed</x:v>
      </x:c>
      <x:c r="P12" s="49" t="str">
        <x:v>VEH-B3399E0ECE5D</x:v>
      </x:c>
      <x:c r="Q12" s="49" t="str">
        <x:v>ARPIB3399E0ECE5DC</x:v>
      </x:c>
      <x:c r="R12" s="249" t="n">
        <x:v>1</x:v>
      </x:c>
      <x:c r="S12" s="49" t="str">
        <x:v>Sanitized public reference data</x:v>
      </x:c>
    </x:row>
    <x:row r="13" ht="20" customHeight="1">
      <x:c r="A13" s="49" t="str">
        <x:v>GSA003-20260802-0012</x:v>
      </x:c>
      <x:c r="B13" s="49" t="str">
        <x:v>GSA-003</x:v>
      </x:c>
      <x:c r="C13" s="49" t="str">
        <x:v>Granite Used Auto Center of Merrimack</x:v>
      </x:c>
      <x:c r="D13" s="245" t="n">
        <x:v>46236</x:v>
      </x:c>
      <x:c r="E13" s="49" t="str">
        <x:v>GSA003-20260802-001</x:v>
      </x:c>
      <x:c r="F13" s="49" t="str">
        <x:v>sanitized_public_inventory_reference</x:v>
      </x:c>
      <x:c r="G13" s="49" t="str">
        <x:v>Used</x:v>
      </x:c>
      <x:c r="H13" s="249" t="n">
        <x:v>2018</x:v>
      </x:c>
      <x:c r="I13" s="49" t="str">
        <x:v>Buick</x:v>
      </x:c>
      <x:c r="J13" s="49" t="str">
        <x:v>Encore</x:v>
      </x:c>
      <x:c r="K13" s="49" t="str">
        <x:v>Sport Touring</x:v>
      </x:c>
      <x:c r="L13" s="49" t="str">
        <x:v>2018 Buick Encore Sport Touring</x:v>
      </x:c>
      <x:c r="M13" s="253" t="n">
        <x:v>134085</x:v>
      </x:c>
      <x:c r="N13" s="257" t="n">
        <x:v>8695</x:v>
      </x:c>
      <x:c r="O13" s="49" t="str">
        <x:v>Listed</x:v>
      </x:c>
      <x:c r="P13" s="49" t="str">
        <x:v>VEH-4E2B339356F0</x:v>
      </x:c>
      <x:c r="Q13" s="49" t="str">
        <x:v>ARPI4E2B339356F09</x:v>
      </x:c>
      <x:c r="R13" s="249" t="n">
        <x:v>1</x:v>
      </x:c>
      <x:c r="S13" s="49" t="str">
        <x:v>Sanitized public reference data</x:v>
      </x:c>
    </x:row>
    <x:row r="14" ht="20" customHeight="1">
      <x:c r="A14" s="49" t="str">
        <x:v>GSA003-20260802-0013</x:v>
      </x:c>
      <x:c r="B14" s="49" t="str">
        <x:v>GSA-003</x:v>
      </x:c>
      <x:c r="C14" s="49" t="str">
        <x:v>Granite Used Auto Center of Merrimack</x:v>
      </x:c>
      <x:c r="D14" s="245" t="n">
        <x:v>46236</x:v>
      </x:c>
      <x:c r="E14" s="49" t="str">
        <x:v>GSA003-20260802-001</x:v>
      </x:c>
      <x:c r="F14" s="49" t="str">
        <x:v>sanitized_public_inventory_reference</x:v>
      </x:c>
      <x:c r="G14" s="49" t="str">
        <x:v>Used</x:v>
      </x:c>
      <x:c r="H14" s="249" t="n">
        <x:v>2018</x:v>
      </x:c>
      <x:c r="I14" s="49" t="str">
        <x:v>Subaru</x:v>
      </x:c>
      <x:c r="J14" s="49" t="str">
        <x:v>Outback</x:v>
      </x:c>
      <x:c r="K14" s="49" t="str">
        <x:v>2.5i Premium</x:v>
      </x:c>
      <x:c r="L14" s="49" t="str">
        <x:v>2018 Subaru Outback 2.5i Premium</x:v>
      </x:c>
      <x:c r="M14" s="253"/>
      <x:c r="N14" s="257"/>
      <x:c r="O14" s="49" t="str">
        <x:v>Price not exposed</x:v>
      </x:c>
      <x:c r="P14" s="49" t="str">
        <x:v>VEH-4F17EE77DA5A</x:v>
      </x:c>
      <x:c r="Q14" s="49" t="str">
        <x:v>ARPI4F17EE77DA5AA</x:v>
      </x:c>
      <x:c r="R14" s="249" t="n">
        <x:v>1</x:v>
      </x:c>
      <x:c r="S14" s="49" t="str">
        <x:v>Sanitized public reference data</x:v>
      </x:c>
    </x:row>
    <x:row r="15" ht="20" customHeight="1">
      <x:c r="A15" s="49" t="str">
        <x:v>GSA003-20260802-0014</x:v>
      </x:c>
      <x:c r="B15" s="49" t="str">
        <x:v>GSA-003</x:v>
      </x:c>
      <x:c r="C15" s="49" t="str">
        <x:v>Granite Used Auto Center of Merrimack</x:v>
      </x:c>
      <x:c r="D15" s="245" t="n">
        <x:v>46236</x:v>
      </x:c>
      <x:c r="E15" s="49" t="str">
        <x:v>GSA003-20260802-001</x:v>
      </x:c>
      <x:c r="F15" s="49" t="str">
        <x:v>sanitized_public_inventory_reference</x:v>
      </x:c>
      <x:c r="G15" s="49" t="str">
        <x:v>Used</x:v>
      </x:c>
      <x:c r="H15" s="249" t="n">
        <x:v>2019</x:v>
      </x:c>
      <x:c r="I15" s="49" t="str">
        <x:v>Ford</x:v>
      </x:c>
      <x:c r="J15" s="49" t="str">
        <x:v>Escape</x:v>
      </x:c>
      <x:c r="K15" s="49" t="str">
        <x:v>SE</x:v>
      </x:c>
      <x:c r="L15" s="49" t="str">
        <x:v>2019 Ford Escape SE</x:v>
      </x:c>
      <x:c r="M15" s="253"/>
      <x:c r="N15" s="257"/>
      <x:c r="O15" s="49" t="str">
        <x:v>Price not exposed</x:v>
      </x:c>
      <x:c r="P15" s="49" t="str">
        <x:v>VEH-939E39EA350D</x:v>
      </x:c>
      <x:c r="Q15" s="49" t="str">
        <x:v>ARPI939E39EA350DC</x:v>
      </x:c>
      <x:c r="R15" s="249" t="n">
        <x:v>1</x:v>
      </x:c>
      <x:c r="S15" s="49" t="str">
        <x:v>Sanitized public reference data</x:v>
      </x:c>
    </x:row>
    <x:row r="16" ht="20" customHeight="1">
      <x:c r="A16" s="49" t="str">
        <x:v>GSA003-20260802-0015</x:v>
      </x:c>
      <x:c r="B16" s="49" t="str">
        <x:v>GSA-003</x:v>
      </x:c>
      <x:c r="C16" s="49" t="str">
        <x:v>Granite Used Auto Center of Merrimack</x:v>
      </x:c>
      <x:c r="D16" s="245" t="n">
        <x:v>46236</x:v>
      </x:c>
      <x:c r="E16" s="49" t="str">
        <x:v>GSA003-20260802-001</x:v>
      </x:c>
      <x:c r="F16" s="49" t="str">
        <x:v>sanitized_public_inventory_reference</x:v>
      </x:c>
      <x:c r="G16" s="49" t="str">
        <x:v>Used</x:v>
      </x:c>
      <x:c r="H16" s="249" t="n">
        <x:v>2020</x:v>
      </x:c>
      <x:c r="I16" s="49" t="str">
        <x:v>Hyundai</x:v>
      </x:c>
      <x:c r="J16" s="49" t="str">
        <x:v>Elantra</x:v>
      </x:c>
      <x:c r="K16" s="49" t="str">
        <x:v>SEL</x:v>
      </x:c>
      <x:c r="L16" s="49" t="str">
        <x:v>2020 Hyundai Elantra SEL</x:v>
      </x:c>
      <x:c r="M16" s="253"/>
      <x:c r="N16" s="257"/>
      <x:c r="O16" s="49" t="str">
        <x:v>Price not exposed</x:v>
      </x:c>
      <x:c r="P16" s="49" t="str">
        <x:v>VEH-5184ED9F46FD</x:v>
      </x:c>
      <x:c r="Q16" s="49" t="str">
        <x:v>ARPI5184ED9F46FD1</x:v>
      </x:c>
      <x:c r="R16" s="249" t="n">
        <x:v>1</x:v>
      </x:c>
      <x:c r="S16" s="49" t="str">
        <x:v>Sanitized public reference data</x:v>
      </x:c>
    </x:row>
    <x:row r="17" ht="20" customHeight="1">
      <x:c r="A17" s="49" t="str">
        <x:v>GSA003-20260802-0016</x:v>
      </x:c>
      <x:c r="B17" s="49" t="str">
        <x:v>GSA-003</x:v>
      </x:c>
      <x:c r="C17" s="49" t="str">
        <x:v>Granite Used Auto Center of Merrimack</x:v>
      </x:c>
      <x:c r="D17" s="245" t="n">
        <x:v>46236</x:v>
      </x:c>
      <x:c r="E17" s="49" t="str">
        <x:v>GSA003-20260802-001</x:v>
      </x:c>
      <x:c r="F17" s="49" t="str">
        <x:v>sanitized_public_inventory_reference</x:v>
      </x:c>
      <x:c r="G17" s="49" t="str">
        <x:v>Used</x:v>
      </x:c>
      <x:c r="H17" s="249" t="n">
        <x:v>2018</x:v>
      </x:c>
      <x:c r="I17" s="49" t="str">
        <x:v>Nissan</x:v>
      </x:c>
      <x:c r="J17" s="49" t="str">
        <x:v>Pathfinder</x:v>
      </x:c>
      <x:c r="K17" s="49" t="str">
        <x:v>S</x:v>
      </x:c>
      <x:c r="L17" s="49" t="str">
        <x:v>2018 Nissan Pathfinder S</x:v>
      </x:c>
      <x:c r="M17" s="253"/>
      <x:c r="N17" s="257"/>
      <x:c r="O17" s="49" t="str">
        <x:v>Price not exposed</x:v>
      </x:c>
      <x:c r="P17" s="49" t="str">
        <x:v>VEH-CD892120804B</x:v>
      </x:c>
      <x:c r="Q17" s="49" t="str">
        <x:v>ARPICD892120804B6</x:v>
      </x:c>
      <x:c r="R17" s="249" t="n">
        <x:v>1</x:v>
      </x:c>
      <x:c r="S17" s="49" t="str">
        <x:v>Sanitized public reference data</x:v>
      </x:c>
    </x:row>
    <x:row r="18" ht="20" customHeight="1">
      <x:c r="A18" s="49" t="str">
        <x:v>GSA003-20260802-0017</x:v>
      </x:c>
      <x:c r="B18" s="49" t="str">
        <x:v>GSA-003</x:v>
      </x:c>
      <x:c r="C18" s="49" t="str">
        <x:v>Granite Used Auto Center of Merrimack</x:v>
      </x:c>
      <x:c r="D18" s="245" t="n">
        <x:v>46236</x:v>
      </x:c>
      <x:c r="E18" s="49" t="str">
        <x:v>GSA003-20260802-001</x:v>
      </x:c>
      <x:c r="F18" s="49" t="str">
        <x:v>sanitized_public_inventory_reference</x:v>
      </x:c>
      <x:c r="G18" s="49" t="str">
        <x:v>Used</x:v>
      </x:c>
      <x:c r="H18" s="249" t="n">
        <x:v>2018</x:v>
      </x:c>
      <x:c r="I18" s="49" t="str">
        <x:v>BMW</x:v>
      </x:c>
      <x:c r="J18" s="49" t="str">
        <x:v>X1</x:v>
      </x:c>
      <x:c r="K18" s="49" t="str">
        <x:v>xDrive28i</x:v>
      </x:c>
      <x:c r="L18" s="49" t="str">
        <x:v>2018 BMW X1 xDrive28i</x:v>
      </x:c>
      <x:c r="M18" s="253"/>
      <x:c r="N18" s="257"/>
      <x:c r="O18" s="49" t="str">
        <x:v>Price not exposed</x:v>
      </x:c>
      <x:c r="P18" s="49" t="str">
        <x:v>VEH-F2EFF6E0A51A</x:v>
      </x:c>
      <x:c r="Q18" s="49" t="str">
        <x:v>ARPIF2EFF6E0A51AB</x:v>
      </x:c>
      <x:c r="R18" s="249" t="n">
        <x:v>1</x:v>
      </x:c>
      <x:c r="S18" s="49" t="str">
        <x:v>Sanitized public reference data</x:v>
      </x:c>
    </x:row>
    <x:row r="19" ht="20" customHeight="1">
      <x:c r="A19" s="49" t="str">
        <x:v>GSA003-20260802-0018</x:v>
      </x:c>
      <x:c r="B19" s="49" t="str">
        <x:v>GSA-003</x:v>
      </x:c>
      <x:c r="C19" s="49" t="str">
        <x:v>Granite Used Auto Center of Merrimack</x:v>
      </x:c>
      <x:c r="D19" s="245" t="n">
        <x:v>46236</x:v>
      </x:c>
      <x:c r="E19" s="49" t="str">
        <x:v>GSA003-20260802-001</x:v>
      </x:c>
      <x:c r="F19" s="49" t="str">
        <x:v>sanitized_public_inventory_reference</x:v>
      </x:c>
      <x:c r="G19" s="49" t="str">
        <x:v>Used</x:v>
      </x:c>
      <x:c r="H19" s="249" t="n">
        <x:v>2021</x:v>
      </x:c>
      <x:c r="I19" s="49" t="str">
        <x:v>Nissan</x:v>
      </x:c>
      <x:c r="J19" s="49" t="str">
        <x:v>Rogue</x:v>
      </x:c>
      <x:c r="K19" s="49" t="str">
        <x:v>SL</x:v>
      </x:c>
      <x:c r="L19" s="49" t="str">
        <x:v>2021 Nissan Rogue SL</x:v>
      </x:c>
      <x:c r="M19" s="253"/>
      <x:c r="N19" s="257"/>
      <x:c r="O19" s="49" t="str">
        <x:v>Price not exposed</x:v>
      </x:c>
      <x:c r="P19" s="49" t="str">
        <x:v>VEH-D9A4AEE34458</x:v>
      </x:c>
      <x:c r="Q19" s="49" t="str">
        <x:v>ARPID9A4AEE34458D</x:v>
      </x:c>
      <x:c r="R19" s="249" t="n">
        <x:v>1</x:v>
      </x:c>
      <x:c r="S19" s="49" t="str">
        <x:v>Sanitized public reference data</x:v>
      </x:c>
    </x:row>
    <x:row r="20" ht="20" customHeight="1">
      <x:c r="A20" s="49" t="str">
        <x:v>GSA003-20260802-0019</x:v>
      </x:c>
      <x:c r="B20" s="49" t="str">
        <x:v>GSA-003</x:v>
      </x:c>
      <x:c r="C20" s="49" t="str">
        <x:v>Granite Used Auto Center of Merrimack</x:v>
      </x:c>
      <x:c r="D20" s="245" t="n">
        <x:v>46236</x:v>
      </x:c>
      <x:c r="E20" s="49" t="str">
        <x:v>GSA003-20260802-001</x:v>
      </x:c>
      <x:c r="F20" s="49" t="str">
        <x:v>sanitized_public_inventory_reference</x:v>
      </x:c>
      <x:c r="G20" s="49" t="str">
        <x:v>Used</x:v>
      </x:c>
      <x:c r="H20" s="249" t="n">
        <x:v>2019</x:v>
      </x:c>
      <x:c r="I20" s="49" t="str">
        <x:v>Chevrolet</x:v>
      </x:c>
      <x:c r="J20" s="49" t="str">
        <x:v>Equinox</x:v>
      </x:c>
      <x:c r="K20" s="49" t="str">
        <x:v>LT</x:v>
      </x:c>
      <x:c r="L20" s="49" t="str">
        <x:v>2019 Chevrolet Equinox LT</x:v>
      </x:c>
      <x:c r="M20" s="253"/>
      <x:c r="N20" s="257"/>
      <x:c r="O20" s="49" t="str">
        <x:v>Price not exposed</x:v>
      </x:c>
      <x:c r="P20" s="49" t="str">
        <x:v>VEH-2790F94B7C61</x:v>
      </x:c>
      <x:c r="Q20" s="49" t="str">
        <x:v>ARPI2790F94B7C619</x:v>
      </x:c>
      <x:c r="R20" s="249" t="n">
        <x:v>1</x:v>
      </x:c>
      <x:c r="S20" s="49" t="str">
        <x:v>Sanitized public reference data</x:v>
      </x:c>
    </x:row>
    <x:row r="21" ht="20" customHeight="1">
      <x:c r="A21" s="49" t="str">
        <x:v>GSA003-20260802-0020</x:v>
      </x:c>
      <x:c r="B21" s="49" t="str">
        <x:v>GSA-003</x:v>
      </x:c>
      <x:c r="C21" s="49" t="str">
        <x:v>Granite Used Auto Center of Merrimack</x:v>
      </x:c>
      <x:c r="D21" s="245" t="n">
        <x:v>46236</x:v>
      </x:c>
      <x:c r="E21" s="49" t="str">
        <x:v>GSA003-20260802-001</x:v>
      </x:c>
      <x:c r="F21" s="49" t="str">
        <x:v>sanitized_public_inventory_reference</x:v>
      </x:c>
      <x:c r="G21" s="49" t="str">
        <x:v>Used</x:v>
      </x:c>
      <x:c r="H21" s="249" t="n">
        <x:v>2017</x:v>
      </x:c>
      <x:c r="I21" s="49" t="str">
        <x:v>Jeep</x:v>
      </x:c>
      <x:c r="J21" s="49" t="str">
        <x:v>Grand Cherokee</x:v>
      </x:c>
      <x:c r="K21" s="49" t="str">
        <x:v>Trailhawk</x:v>
      </x:c>
      <x:c r="L21" s="49" t="str">
        <x:v>2017 Jeep Grand Cherokee Trailhawk</x:v>
      </x:c>
      <x:c r="M21" s="253"/>
      <x:c r="N21" s="257"/>
      <x:c r="O21" s="49" t="str">
        <x:v>Price not exposed</x:v>
      </x:c>
      <x:c r="P21" s="49" t="str">
        <x:v>VEH-042C8BECE5FE</x:v>
      </x:c>
      <x:c r="Q21" s="49" t="str">
        <x:v>ARPI042C8BECE5FE3</x:v>
      </x:c>
      <x:c r="R21" s="249" t="n">
        <x:v>1</x:v>
      </x:c>
      <x:c r="S21" s="49" t="str">
        <x:v>Sanitized public reference data</x:v>
      </x:c>
    </x:row>
    <x:row r="22" ht="20" customHeight="1">
      <x:c r="A22" s="49" t="str">
        <x:v>GSA003-20260802-0021</x:v>
      </x:c>
      <x:c r="B22" s="49" t="str">
        <x:v>GSA-003</x:v>
      </x:c>
      <x:c r="C22" s="49" t="str">
        <x:v>Granite Used Auto Center of Merrimack</x:v>
      </x:c>
      <x:c r="D22" s="245" t="n">
        <x:v>46236</x:v>
      </x:c>
      <x:c r="E22" s="49" t="str">
        <x:v>GSA003-20260802-001</x:v>
      </x:c>
      <x:c r="F22" s="49" t="str">
        <x:v>sanitized_public_inventory_reference</x:v>
      </x:c>
      <x:c r="G22" s="49" t="str">
        <x:v>Used</x:v>
      </x:c>
      <x:c r="H22" s="249" t="n">
        <x:v>2018</x:v>
      </x:c>
      <x:c r="I22" s="49" t="str">
        <x:v>Jeep</x:v>
      </x:c>
      <x:c r="J22" s="49" t="str">
        <x:v>Compass</x:v>
      </x:c>
      <x:c r="K22" s="49" t="str">
        <x:v>Limited</x:v>
      </x:c>
      <x:c r="L22" s="49" t="str">
        <x:v>2018 Jeep Compass Limited</x:v>
      </x:c>
      <x:c r="M22" s="253"/>
      <x:c r="N22" s="257"/>
      <x:c r="O22" s="49" t="str">
        <x:v>Price not exposed</x:v>
      </x:c>
      <x:c r="P22" s="49" t="str">
        <x:v>VEH-BBF1CBADF252</x:v>
      </x:c>
      <x:c r="Q22" s="49" t="str">
        <x:v>ARPIBBF1CBADF2527</x:v>
      </x:c>
      <x:c r="R22" s="249" t="n">
        <x:v>1</x:v>
      </x:c>
      <x:c r="S22" s="49" t="str">
        <x:v>Sanitized public reference data</x:v>
      </x:c>
    </x:row>
    <x:row r="23" ht="20" customHeight="1">
      <x:c r="A23" s="49" t="str">
        <x:v>GSA003-20260802-0022</x:v>
      </x:c>
      <x:c r="B23" s="49" t="str">
        <x:v>GSA-003</x:v>
      </x:c>
      <x:c r="C23" s="49" t="str">
        <x:v>Granite Used Auto Center of Merrimack</x:v>
      </x:c>
      <x:c r="D23" s="245" t="n">
        <x:v>46236</x:v>
      </x:c>
      <x:c r="E23" s="49" t="str">
        <x:v>GSA003-20260802-001</x:v>
      </x:c>
      <x:c r="F23" s="49" t="str">
        <x:v>sanitized_public_inventory_reference</x:v>
      </x:c>
      <x:c r="G23" s="49" t="str">
        <x:v>Used</x:v>
      </x:c>
      <x:c r="H23" s="249" t="n">
        <x:v>2017</x:v>
      </x:c>
      <x:c r="I23" s="49" t="str">
        <x:v>Ford</x:v>
      </x:c>
      <x:c r="J23" s="49" t="str">
        <x:v>F-150</x:v>
      </x:c>
      <x:c r="K23" s="49" t="str">
        <x:v>XLT</x:v>
      </x:c>
      <x:c r="L23" s="49" t="str">
        <x:v>2017 Ford F-150 XLT</x:v>
      </x:c>
      <x:c r="M23" s="253"/>
      <x:c r="N23" s="257"/>
      <x:c r="O23" s="49" t="str">
        <x:v>Price not exposed</x:v>
      </x:c>
      <x:c r="P23" s="49" t="str">
        <x:v>VEH-37CA6268261A</x:v>
      </x:c>
      <x:c r="Q23" s="49" t="str">
        <x:v>ARPI37CA6268261AD</x:v>
      </x:c>
      <x:c r="R23" s="249" t="n">
        <x:v>1</x:v>
      </x:c>
      <x:c r="S23" s="49" t="str">
        <x:v>Sanitized public reference data</x:v>
      </x:c>
    </x:row>
    <x:row r="24" ht="20" customHeight="1">
      <x:c r="A24" s="49" t="str">
        <x:v>GSA003-20260802-0023</x:v>
      </x:c>
      <x:c r="B24" s="49" t="str">
        <x:v>GSA-003</x:v>
      </x:c>
      <x:c r="C24" s="49" t="str">
        <x:v>Granite Used Auto Center of Merrimack</x:v>
      </x:c>
      <x:c r="D24" s="245" t="n">
        <x:v>46236</x:v>
      </x:c>
      <x:c r="E24" s="49" t="str">
        <x:v>GSA003-20260802-001</x:v>
      </x:c>
      <x:c r="F24" s="49" t="str">
        <x:v>sanitized_public_inventory_reference</x:v>
      </x:c>
      <x:c r="G24" s="49" t="str">
        <x:v>Used</x:v>
      </x:c>
      <x:c r="H24" s="249" t="n">
        <x:v>2019</x:v>
      </x:c>
      <x:c r="I24" s="49" t="str">
        <x:v>Jeep</x:v>
      </x:c>
      <x:c r="J24" s="49" t="str">
        <x:v>Grand Cherokee</x:v>
      </x:c>
      <x:c r="K24" s="49" t="str">
        <x:v>Limited</x:v>
      </x:c>
      <x:c r="L24" s="49" t="str">
        <x:v>2019 Jeep Grand Cherokee Limited</x:v>
      </x:c>
      <x:c r="M24" s="253"/>
      <x:c r="N24" s="257"/>
      <x:c r="O24" s="49" t="str">
        <x:v>Price not exposed</x:v>
      </x:c>
      <x:c r="P24" s="49" t="str">
        <x:v>VEH-38AE1F7E675E</x:v>
      </x:c>
      <x:c r="Q24" s="49" t="str">
        <x:v>ARPI38AE1F7E675E5</x:v>
      </x:c>
      <x:c r="R24" s="249" t="n">
        <x:v>1</x:v>
      </x:c>
      <x:c r="S24" s="49" t="str">
        <x:v>Sanitized public reference data</x:v>
      </x:c>
    </x:row>
    <x:row r="25" ht="20" customHeight="1">
      <x:c r="A25" s="49" t="str">
        <x:v>GSA003-20260802-0024</x:v>
      </x:c>
      <x:c r="B25" s="49" t="str">
        <x:v>GSA-003</x:v>
      </x:c>
      <x:c r="C25" s="49" t="str">
        <x:v>Granite Used Auto Center of Merrimack</x:v>
      </x:c>
      <x:c r="D25" s="245" t="n">
        <x:v>46236</x:v>
      </x:c>
      <x:c r="E25" s="49" t="str">
        <x:v>GSA003-20260802-001</x:v>
      </x:c>
      <x:c r="F25" s="49" t="str">
        <x:v>sanitized_public_inventory_reference</x:v>
      </x:c>
      <x:c r="G25" s="49" t="str">
        <x:v>Used</x:v>
      </x:c>
      <x:c r="H25" s="249" t="n">
        <x:v>2017</x:v>
      </x:c>
      <x:c r="I25" s="49" t="str">
        <x:v>BMW</x:v>
      </x:c>
      <x:c r="J25" s="49" t="str">
        <x:v>X3</x:v>
      </x:c>
      <x:c r="K25" s="49" t="str">
        <x:v>xDrive28i</x:v>
      </x:c>
      <x:c r="L25" s="49" t="str">
        <x:v>2017 BMW X3 xDrive28i</x:v>
      </x:c>
      <x:c r="M25" s="253"/>
      <x:c r="N25" s="257"/>
      <x:c r="O25" s="49" t="str">
        <x:v>Price not exposed</x:v>
      </x:c>
      <x:c r="P25" s="49" t="str">
        <x:v>VEH-30641497C6F3</x:v>
      </x:c>
      <x:c r="Q25" s="49" t="str">
        <x:v>ARPI30641497C6F37</x:v>
      </x:c>
      <x:c r="R25" s="249" t="n">
        <x:v>1</x:v>
      </x:c>
      <x:c r="S25" s="49" t="str">
        <x:v>Sanitized public reference data</x:v>
      </x:c>
    </x:row>
    <x:row r="26" ht="20" customHeight="1">
      <x:c r="A26" s="49" t="str">
        <x:v>GSA003-20260802-0025</x:v>
      </x:c>
      <x:c r="B26" s="49" t="str">
        <x:v>GSA-003</x:v>
      </x:c>
      <x:c r="C26" s="49" t="str">
        <x:v>Granite Used Auto Center of Merrimack</x:v>
      </x:c>
      <x:c r="D26" s="245" t="n">
        <x:v>46236</x:v>
      </x:c>
      <x:c r="E26" s="49" t="str">
        <x:v>GSA003-20260802-001</x:v>
      </x:c>
      <x:c r="F26" s="49" t="str">
        <x:v>sanitized_public_inventory_reference</x:v>
      </x:c>
      <x:c r="G26" s="49" t="str">
        <x:v>Used</x:v>
      </x:c>
      <x:c r="H26" s="249" t="n">
        <x:v>2016</x:v>
      </x:c>
      <x:c r="I26" s="49" t="str">
        <x:v>BMW</x:v>
      </x:c>
      <x:c r="J26" s="49" t="str">
        <x:v>X5</x:v>
      </x:c>
      <x:c r="K26" s="49" t="str">
        <x:v>xDrive35i</x:v>
      </x:c>
      <x:c r="L26" s="49" t="str">
        <x:v>2016 BMW X5 xDrive35i</x:v>
      </x:c>
      <x:c r="M26" s="253"/>
      <x:c r="N26" s="257"/>
      <x:c r="O26" s="49" t="str">
        <x:v>Price not exposed</x:v>
      </x:c>
      <x:c r="P26" s="49" t="str">
        <x:v>VEH-750E82F9EE24</x:v>
      </x:c>
      <x:c r="Q26" s="49" t="str">
        <x:v>ARPI750E82F9EE247</x:v>
      </x:c>
      <x:c r="R26" s="249" t="n">
        <x:v>1</x:v>
      </x:c>
      <x:c r="S26" s="49" t="str">
        <x:v>Sanitized public reference data</x:v>
      </x:c>
    </x:row>
    <x:row r="27" ht="20" customHeight="1">
      <x:c r="A27" s="49" t="str">
        <x:v>GSA003-20260802-0026</x:v>
      </x:c>
      <x:c r="B27" s="49" t="str">
        <x:v>GSA-003</x:v>
      </x:c>
      <x:c r="C27" s="49" t="str">
        <x:v>Granite Used Auto Center of Merrimack</x:v>
      </x:c>
      <x:c r="D27" s="245" t="n">
        <x:v>46236</x:v>
      </x:c>
      <x:c r="E27" s="49" t="str">
        <x:v>GSA003-20260802-001</x:v>
      </x:c>
      <x:c r="F27" s="49" t="str">
        <x:v>sanitized_public_inventory_reference</x:v>
      </x:c>
      <x:c r="G27" s="49" t="str">
        <x:v>Used</x:v>
      </x:c>
      <x:c r="H27" s="249" t="n">
        <x:v>2019</x:v>
      </x:c>
      <x:c r="I27" s="49" t="str">
        <x:v>Nissan</x:v>
      </x:c>
      <x:c r="J27" s="49" t="str">
        <x:v>Rogue</x:v>
      </x:c>
      <x:c r="K27" s="49" t="str">
        <x:v>SL</x:v>
      </x:c>
      <x:c r="L27" s="49" t="str">
        <x:v>2019 Nissan Rogue SL</x:v>
      </x:c>
      <x:c r="M27" s="253"/>
      <x:c r="N27" s="257"/>
      <x:c r="O27" s="49" t="str">
        <x:v>Price not exposed</x:v>
      </x:c>
      <x:c r="P27" s="49" t="str">
        <x:v>VEH-BBFFB41B6ED0</x:v>
      </x:c>
      <x:c r="Q27" s="49" t="str">
        <x:v>ARPIBBFFB41B6ED0E</x:v>
      </x:c>
      <x:c r="R27" s="249" t="n">
        <x:v>1</x:v>
      </x:c>
      <x:c r="S27" s="49" t="str">
        <x:v>Sanitized public reference data</x:v>
      </x:c>
    </x:row>
    <x:row r="28" ht="20" customHeight="1">
      <x:c r="A28" s="49" t="str">
        <x:v>GSA003-20260802-0027</x:v>
      </x:c>
      <x:c r="B28" s="49" t="str">
        <x:v>GSA-003</x:v>
      </x:c>
      <x:c r="C28" s="49" t="str">
        <x:v>Granite Used Auto Center of Merrimack</x:v>
      </x:c>
      <x:c r="D28" s="245" t="n">
        <x:v>46236</x:v>
      </x:c>
      <x:c r="E28" s="49" t="str">
        <x:v>GSA003-20260802-001</x:v>
      </x:c>
      <x:c r="F28" s="49" t="str">
        <x:v>sanitized_public_inventory_reference</x:v>
      </x:c>
      <x:c r="G28" s="49" t="str">
        <x:v>Used</x:v>
      </x:c>
      <x:c r="H28" s="249" t="n">
        <x:v>2019</x:v>
      </x:c>
      <x:c r="I28" s="49" t="str">
        <x:v>Nissan</x:v>
      </x:c>
      <x:c r="J28" s="49" t="str">
        <x:v>Rogue</x:v>
      </x:c>
      <x:c r="K28" s="49" t="str">
        <x:v>SV</x:v>
      </x:c>
      <x:c r="L28" s="49" t="str">
        <x:v>2019 Nissan Rogue SV</x:v>
      </x:c>
      <x:c r="M28" s="253"/>
      <x:c r="N28" s="257"/>
      <x:c r="O28" s="49" t="str">
        <x:v>Price not exposed</x:v>
      </x:c>
      <x:c r="P28" s="49" t="str">
        <x:v>VEH-F80BC7D3270C</x:v>
      </x:c>
      <x:c r="Q28" s="49" t="str">
        <x:v>ARPIF80BC7D3270CF</x:v>
      </x:c>
      <x:c r="R28" s="249" t="n">
        <x:v>1</x:v>
      </x:c>
      <x:c r="S28" s="49" t="str">
        <x:v>Sanitized public reference data</x:v>
      </x:c>
    </x:row>
    <x:row r="29" ht="20" customHeight="1">
      <x:c r="A29" s="49" t="str">
        <x:v>GSA003-20260802-0028</x:v>
      </x:c>
      <x:c r="B29" s="49" t="str">
        <x:v>GSA-003</x:v>
      </x:c>
      <x:c r="C29" s="49" t="str">
        <x:v>Granite Used Auto Center of Merrimack</x:v>
      </x:c>
      <x:c r="D29" s="245" t="n">
        <x:v>46236</x:v>
      </x:c>
      <x:c r="E29" s="49" t="str">
        <x:v>GSA003-20260802-001</x:v>
      </x:c>
      <x:c r="F29" s="49" t="str">
        <x:v>sanitized_public_inventory_reference</x:v>
      </x:c>
      <x:c r="G29" s="49" t="str">
        <x:v>Used</x:v>
      </x:c>
      <x:c r="H29" s="249" t="n">
        <x:v>2016</x:v>
      </x:c>
      <x:c r="I29" s="49" t="str">
        <x:v>Jeep</x:v>
      </x:c>
      <x:c r="J29" s="49" t="str">
        <x:v>Wrangler</x:v>
      </x:c>
      <x:c r="K29" s="49" t="str">
        <x:v>Sport</x:v>
      </x:c>
      <x:c r="L29" s="49" t="str">
        <x:v>2016 Jeep Wrangler Sport</x:v>
      </x:c>
      <x:c r="M29" s="253"/>
      <x:c r="N29" s="257"/>
      <x:c r="O29" s="49" t="str">
        <x:v>Price not exposed</x:v>
      </x:c>
      <x:c r="P29" s="49" t="str">
        <x:v>VEH-56B5BE62278E</x:v>
      </x:c>
      <x:c r="Q29" s="49" t="str">
        <x:v>ARPI56B5BE62278E8</x:v>
      </x:c>
      <x:c r="R29" s="249" t="n">
        <x:v>1</x:v>
      </x:c>
      <x:c r="S29" s="49" t="str">
        <x:v>Sanitized public reference data</x:v>
      </x:c>
    </x:row>
    <x:row r="30" ht="20" customHeight="1">
      <x:c r="A30" s="49" t="str">
        <x:v>GSA003-20260802-0029</x:v>
      </x:c>
      <x:c r="B30" s="49" t="str">
        <x:v>GSA-003</x:v>
      </x:c>
      <x:c r="C30" s="49" t="str">
        <x:v>Granite Used Auto Center of Merrimack</x:v>
      </x:c>
      <x:c r="D30" s="245" t="n">
        <x:v>46236</x:v>
      </x:c>
      <x:c r="E30" s="49" t="str">
        <x:v>GSA003-20260802-001</x:v>
      </x:c>
      <x:c r="F30" s="49" t="str">
        <x:v>sanitized_public_inventory_reference</x:v>
      </x:c>
      <x:c r="G30" s="49" t="str">
        <x:v>Used</x:v>
      </x:c>
      <x:c r="H30" s="249" t="n">
        <x:v>2016</x:v>
      </x:c>
      <x:c r="I30" s="49" t="str">
        <x:v>Hyundai</x:v>
      </x:c>
      <x:c r="J30" s="49" t="str">
        <x:v>Tucson</x:v>
      </x:c>
      <x:c r="K30" s="49" t="str">
        <x:v>SE</x:v>
      </x:c>
      <x:c r="L30" s="49" t="str">
        <x:v>2016 Hyundai Tucson SE</x:v>
      </x:c>
      <x:c r="M30" s="253"/>
      <x:c r="N30" s="257"/>
      <x:c r="O30" s="49" t="str">
        <x:v>Price not exposed</x:v>
      </x:c>
      <x:c r="P30" s="49" t="str">
        <x:v>VEH-DBE88B1A5CC6</x:v>
      </x:c>
      <x:c r="Q30" s="49" t="str">
        <x:v>ARPIDBE88B1A5CC6B</x:v>
      </x:c>
      <x:c r="R30" s="249" t="n">
        <x:v>1</x:v>
      </x:c>
      <x:c r="S30" s="49" t="str">
        <x:v>Sanitized public reference data</x:v>
      </x:c>
    </x:row>
    <x:row r="31" ht="20" customHeight="1">
      <x:c r="A31" s="49" t="str">
        <x:v>GSA003-20260802-0030</x:v>
      </x:c>
      <x:c r="B31" s="49" t="str">
        <x:v>GSA-003</x:v>
      </x:c>
      <x:c r="C31" s="49" t="str">
        <x:v>Granite Used Auto Center of Merrimack</x:v>
      </x:c>
      <x:c r="D31" s="245" t="n">
        <x:v>46236</x:v>
      </x:c>
      <x:c r="E31" s="49" t="str">
        <x:v>GSA003-20260802-001</x:v>
      </x:c>
      <x:c r="F31" s="49" t="str">
        <x:v>sanitized_public_inventory_reference</x:v>
      </x:c>
      <x:c r="G31" s="49" t="str">
        <x:v>Used</x:v>
      </x:c>
      <x:c r="H31" s="249" t="n">
        <x:v>2017</x:v>
      </x:c>
      <x:c r="I31" s="49" t="str">
        <x:v>Audi</x:v>
      </x:c>
      <x:c r="J31" s="49" t="str">
        <x:v>A3</x:v>
      </x:c>
      <x:c r="K31" s="49" t="str">
        <x:v>2.0T Premium</x:v>
      </x:c>
      <x:c r="L31" s="49" t="str">
        <x:v>2017 Audi A3 2.0T Premium</x:v>
      </x:c>
      <x:c r="M31" s="253"/>
      <x:c r="N31" s="257"/>
      <x:c r="O31" s="49" t="str">
        <x:v>Price not exposed</x:v>
      </x:c>
      <x:c r="P31" s="49" t="str">
        <x:v>VEH-47C8DAEFEAD6</x:v>
      </x:c>
      <x:c r="Q31" s="49" t="str">
        <x:v>ARPI47C8DAEFEAD68</x:v>
      </x:c>
      <x:c r="R31" s="249" t="n">
        <x:v>1</x:v>
      </x:c>
      <x:c r="S31" s="49" t="str">
        <x:v>Sanitized public reference data</x:v>
      </x:c>
    </x:row>
    <x:row r="32" ht="20" customHeight="1">
      <x:c r="A32" s="49" t="str">
        <x:v>GSA003-20260802-0031</x:v>
      </x:c>
      <x:c r="B32" s="49" t="str">
        <x:v>GSA-003</x:v>
      </x:c>
      <x:c r="C32" s="49" t="str">
        <x:v>Granite Used Auto Center of Merrimack</x:v>
      </x:c>
      <x:c r="D32" s="245" t="n">
        <x:v>46236</x:v>
      </x:c>
      <x:c r="E32" s="49" t="str">
        <x:v>GSA003-20260802-001</x:v>
      </x:c>
      <x:c r="F32" s="49" t="str">
        <x:v>sanitized_public_inventory_reference</x:v>
      </x:c>
      <x:c r="G32" s="49" t="str">
        <x:v>Used</x:v>
      </x:c>
      <x:c r="H32" s="249" t="n">
        <x:v>2020</x:v>
      </x:c>
      <x:c r="I32" s="49" t="str">
        <x:v>Nissan</x:v>
      </x:c>
      <x:c r="J32" s="49" t="str">
        <x:v>Rogue</x:v>
      </x:c>
      <x:c r="K32" s="49" t="str">
        <x:v>SV</x:v>
      </x:c>
      <x:c r="L32" s="49" t="str">
        <x:v>2020 Nissan Rogue SV</x:v>
      </x:c>
      <x:c r="M32" s="253"/>
      <x:c r="N32" s="257"/>
      <x:c r="O32" s="49" t="str">
        <x:v>Price not exposed</x:v>
      </x:c>
      <x:c r="P32" s="49" t="str">
        <x:v>VEH-3B8A1A80A2D7</x:v>
      </x:c>
      <x:c r="Q32" s="49" t="str">
        <x:v>ARPI3B8A1A80A2D77</x:v>
      </x:c>
      <x:c r="R32" s="249" t="n">
        <x:v>1</x:v>
      </x:c>
      <x:c r="S32" s="49" t="str">
        <x:v>Sanitized public reference data</x:v>
      </x:c>
    </x:row>
    <x:row r="33" ht="20" customHeight="1">
      <x:c r="A33" s="49" t="str">
        <x:v>GSA003-20260802-0032</x:v>
      </x:c>
      <x:c r="B33" s="49" t="str">
        <x:v>GSA-003</x:v>
      </x:c>
      <x:c r="C33" s="49" t="str">
        <x:v>Granite Used Auto Center of Merrimack</x:v>
      </x:c>
      <x:c r="D33" s="245" t="n">
        <x:v>46236</x:v>
      </x:c>
      <x:c r="E33" s="49" t="str">
        <x:v>GSA003-20260802-001</x:v>
      </x:c>
      <x:c r="F33" s="49" t="str">
        <x:v>sanitized_public_inventory_reference</x:v>
      </x:c>
      <x:c r="G33" s="49" t="str">
        <x:v>Used</x:v>
      </x:c>
      <x:c r="H33" s="249" t="n">
        <x:v>2020</x:v>
      </x:c>
      <x:c r="I33" s="49" t="str">
        <x:v>Jeep</x:v>
      </x:c>
      <x:c r="J33" s="49" t="str">
        <x:v>Cherokee</x:v>
      </x:c>
      <x:c r="K33" s="49" t="str">
        <x:v>Limited</x:v>
      </x:c>
      <x:c r="L33" s="49" t="str">
        <x:v>2020 Jeep Cherokee Limited</x:v>
      </x:c>
      <x:c r="M33" s="253" t="n">
        <x:v>106493</x:v>
      </x:c>
      <x:c r="N33" s="257" t="n">
        <x:v>13995</x:v>
      </x:c>
      <x:c r="O33" s="49" t="str">
        <x:v>Listed</x:v>
      </x:c>
      <x:c r="P33" s="49" t="str">
        <x:v>VEH-60AE8BE0742E</x:v>
      </x:c>
      <x:c r="Q33" s="49" t="str">
        <x:v>ARPI60AE8BE0742EB</x:v>
      </x:c>
      <x:c r="R33" s="249" t="n">
        <x:v>1</x:v>
      </x:c>
      <x:c r="S33" s="49" t="str">
        <x:v>Sanitized public reference data</x:v>
      </x:c>
    </x:row>
    <x:row r="34" ht="20" customHeight="1">
      <x:c r="A34" s="49" t="str">
        <x:v>GSA003-20260802-0033</x:v>
      </x:c>
      <x:c r="B34" s="49" t="str">
        <x:v>GSA-003</x:v>
      </x:c>
      <x:c r="C34" s="49" t="str">
        <x:v>Granite Used Auto Center of Merrimack</x:v>
      </x:c>
      <x:c r="D34" s="245" t="n">
        <x:v>46236</x:v>
      </x:c>
      <x:c r="E34" s="49" t="str">
        <x:v>GSA003-20260802-001</x:v>
      </x:c>
      <x:c r="F34" s="49" t="str">
        <x:v>sanitized_public_inventory_reference</x:v>
      </x:c>
      <x:c r="G34" s="49" t="str">
        <x:v>Used</x:v>
      </x:c>
      <x:c r="H34" s="249" t="n">
        <x:v>2020</x:v>
      </x:c>
      <x:c r="I34" s="49" t="str">
        <x:v>Mazda</x:v>
      </x:c>
      <x:c r="J34" s="49" t="str">
        <x:v>Mazda3</x:v>
      </x:c>
      <x:c r="K34" s="49" t="str">
        <x:v>Select</x:v>
      </x:c>
      <x:c r="L34" s="49" t="str">
        <x:v>2020 Mazda Mazda3 Select</x:v>
      </x:c>
      <x:c r="M34" s="253"/>
      <x:c r="N34" s="257"/>
      <x:c r="O34" s="49" t="str">
        <x:v>Price not exposed</x:v>
      </x:c>
      <x:c r="P34" s="49" t="str">
        <x:v>VEH-A206EB639410</x:v>
      </x:c>
      <x:c r="Q34" s="49" t="str">
        <x:v>ARPIA206EB6394100</x:v>
      </x:c>
      <x:c r="R34" s="249" t="n">
        <x:v>1</x:v>
      </x:c>
      <x:c r="S34" s="49" t="str">
        <x:v>Sanitized public reference data</x:v>
      </x:c>
    </x:row>
    <x:row r="35" ht="20" customHeight="1">
      <x:c r="A35" s="49" t="str">
        <x:v>GSA003-20260802-0034</x:v>
      </x:c>
      <x:c r="B35" s="49" t="str">
        <x:v>GSA-003</x:v>
      </x:c>
      <x:c r="C35" s="49" t="str">
        <x:v>Granite Used Auto Center of Merrimack</x:v>
      </x:c>
      <x:c r="D35" s="245" t="n">
        <x:v>46236</x:v>
      </x:c>
      <x:c r="E35" s="49" t="str">
        <x:v>GSA003-20260802-001</x:v>
      </x:c>
      <x:c r="F35" s="49" t="str">
        <x:v>sanitized_public_inventory_reference</x:v>
      </x:c>
      <x:c r="G35" s="49" t="str">
        <x:v>Used</x:v>
      </x:c>
      <x:c r="H35" s="249" t="n">
        <x:v>2016</x:v>
      </x:c>
      <x:c r="I35" s="49" t="str">
        <x:v>Honda</x:v>
      </x:c>
      <x:c r="J35" s="49" t="str">
        <x:v>HR-V</x:v>
      </x:c>
      <x:c r="K35" s="49" t="str">
        <x:v>EX</x:v>
      </x:c>
      <x:c r="L35" s="49" t="str">
        <x:v>2016 Honda HR-V EX</x:v>
      </x:c>
      <x:c r="M35" s="253"/>
      <x:c r="N35" s="257"/>
      <x:c r="O35" s="49" t="str">
        <x:v>Price not exposed</x:v>
      </x:c>
      <x:c r="P35" s="49" t="str">
        <x:v>VEH-835D58104F42</x:v>
      </x:c>
      <x:c r="Q35" s="49" t="str">
        <x:v>ARPI835D58104F422</x:v>
      </x:c>
      <x:c r="R35" s="249" t="n">
        <x:v>1</x:v>
      </x:c>
      <x:c r="S35" s="49" t="str">
        <x:v>Sanitized public reference data</x:v>
      </x:c>
    </x:row>
    <x:row r="36" ht="20" customHeight="1">
      <x:c r="A36" s="49" t="str">
        <x:v>GSA003-20260802-0035</x:v>
      </x:c>
      <x:c r="B36" s="49" t="str">
        <x:v>GSA-003</x:v>
      </x:c>
      <x:c r="C36" s="49" t="str">
        <x:v>Granite Used Auto Center of Merrimack</x:v>
      </x:c>
      <x:c r="D36" s="245" t="n">
        <x:v>46236</x:v>
      </x:c>
      <x:c r="E36" s="49" t="str">
        <x:v>GSA003-20260802-001</x:v>
      </x:c>
      <x:c r="F36" s="49" t="str">
        <x:v>sanitized_public_inventory_reference</x:v>
      </x:c>
      <x:c r="G36" s="49" t="str">
        <x:v>Used</x:v>
      </x:c>
      <x:c r="H36" s="249" t="n">
        <x:v>2020</x:v>
      </x:c>
      <x:c r="I36" s="49" t="str">
        <x:v>Hyundai</x:v>
      </x:c>
      <x:c r="J36" s="49" t="str">
        <x:v>Kona</x:v>
      </x:c>
      <x:c r="K36" s="49" t="str">
        <x:v>Limited</x:v>
      </x:c>
      <x:c r="L36" s="49" t="str">
        <x:v>2020 Hyundai Kona Limited</x:v>
      </x:c>
      <x:c r="M36" s="253"/>
      <x:c r="N36" s="257"/>
      <x:c r="O36" s="49" t="str">
        <x:v>Price not exposed</x:v>
      </x:c>
      <x:c r="P36" s="49" t="str">
        <x:v>VEH-DEAB382B6F0A</x:v>
      </x:c>
      <x:c r="Q36" s="49" t="str">
        <x:v>ARPIDEAB382B6F0A2</x:v>
      </x:c>
      <x:c r="R36" s="249" t="n">
        <x:v>1</x:v>
      </x:c>
      <x:c r="S36" s="49" t="str">
        <x:v>Sanitized public reference data</x:v>
      </x:c>
    </x:row>
    <x:row r="37" ht="20" customHeight="1">
      <x:c r="A37" s="49" t="str">
        <x:v>GSA003-20260802-0036</x:v>
      </x:c>
      <x:c r="B37" s="49" t="str">
        <x:v>GSA-003</x:v>
      </x:c>
      <x:c r="C37" s="49" t="str">
        <x:v>Granite Used Auto Center of Merrimack</x:v>
      </x:c>
      <x:c r="D37" s="245" t="n">
        <x:v>46236</x:v>
      </x:c>
      <x:c r="E37" s="49" t="str">
        <x:v>GSA003-20260802-001</x:v>
      </x:c>
      <x:c r="F37" s="49" t="str">
        <x:v>sanitized_public_inventory_reference</x:v>
      </x:c>
      <x:c r="G37" s="49" t="str">
        <x:v>Used</x:v>
      </x:c>
      <x:c r="H37" s="249" t="n">
        <x:v>2013</x:v>
      </x:c>
      <x:c r="I37" s="49" t="str">
        <x:v>Honda</x:v>
      </x:c>
      <x:c r="J37" s="49" t="str">
        <x:v>Pilot</x:v>
      </x:c>
      <x:c r="K37" s="49" t="str">
        <x:v>LX</x:v>
      </x:c>
      <x:c r="L37" s="49" t="str">
        <x:v>2013 Honda Pilot LX</x:v>
      </x:c>
      <x:c r="M37" s="253"/>
      <x:c r="N37" s="257"/>
      <x:c r="O37" s="49" t="str">
        <x:v>Price not exposed</x:v>
      </x:c>
      <x:c r="P37" s="49" t="str">
        <x:v>VEH-CC8D598FA3CD</x:v>
      </x:c>
      <x:c r="Q37" s="49" t="str">
        <x:v>ARPICC8D598FA3CD5</x:v>
      </x:c>
      <x:c r="R37" s="249" t="n">
        <x:v>1</x:v>
      </x:c>
      <x:c r="S37" s="49" t="str">
        <x:v>Sanitized public reference data</x:v>
      </x:c>
    </x:row>
    <x:row r="38" ht="20" customHeight="1">
      <x:c r="A38" s="49" t="str">
        <x:v>GSA003-20260802-0037</x:v>
      </x:c>
      <x:c r="B38" s="49" t="str">
        <x:v>GSA-003</x:v>
      </x:c>
      <x:c r="C38" s="49" t="str">
        <x:v>Granite Used Auto Center of Merrimack</x:v>
      </x:c>
      <x:c r="D38" s="245" t="n">
        <x:v>46236</x:v>
      </x:c>
      <x:c r="E38" s="49" t="str">
        <x:v>GSA003-20260802-001</x:v>
      </x:c>
      <x:c r="F38" s="49" t="str">
        <x:v>sanitized_public_inventory_reference</x:v>
      </x:c>
      <x:c r="G38" s="49" t="str">
        <x:v>Used</x:v>
      </x:c>
      <x:c r="H38" s="249" t="n">
        <x:v>2017</x:v>
      </x:c>
      <x:c r="I38" s="49" t="str">
        <x:v>Ford</x:v>
      </x:c>
      <x:c r="J38" s="49" t="str">
        <x:v>Escape</x:v>
      </x:c>
      <x:c r="K38" s="49" t="str">
        <x:v>SE</x:v>
      </x:c>
      <x:c r="L38" s="49" t="str">
        <x:v>2017 Ford Escape SE</x:v>
      </x:c>
      <x:c r="M38" s="253"/>
      <x:c r="N38" s="257"/>
      <x:c r="O38" s="49" t="str">
        <x:v>Price not exposed</x:v>
      </x:c>
      <x:c r="P38" s="49" t="str">
        <x:v>VEH-311AA7B77306</x:v>
      </x:c>
      <x:c r="Q38" s="49" t="str">
        <x:v>ARPI311AA7B77306F</x:v>
      </x:c>
      <x:c r="R38" s="249" t="n">
        <x:v>1</x:v>
      </x:c>
      <x:c r="S38" s="49" t="str">
        <x:v>Sanitized public reference data</x:v>
      </x:c>
    </x:row>
    <x:row r="39" ht="20" customHeight="1">
      <x:c r="A39" s="49" t="str">
        <x:v>GSA003-20260802-0038</x:v>
      </x:c>
      <x:c r="B39" s="49" t="str">
        <x:v>GSA-003</x:v>
      </x:c>
      <x:c r="C39" s="49" t="str">
        <x:v>Granite Used Auto Center of Merrimack</x:v>
      </x:c>
      <x:c r="D39" s="245" t="n">
        <x:v>46236</x:v>
      </x:c>
      <x:c r="E39" s="49" t="str">
        <x:v>GSA003-20260802-001</x:v>
      </x:c>
      <x:c r="F39" s="49" t="str">
        <x:v>sanitized_public_inventory_reference</x:v>
      </x:c>
      <x:c r="G39" s="49" t="str">
        <x:v>Used</x:v>
      </x:c>
      <x:c r="H39" s="249" t="n">
        <x:v>2019</x:v>
      </x:c>
      <x:c r="I39" s="49" t="str">
        <x:v>Audi</x:v>
      </x:c>
      <x:c r="J39" s="49" t="str">
        <x:v>Q7</x:v>
      </x:c>
      <x:c r="K39" s="49" t="str">
        <x:v>55 Premium</x:v>
      </x:c>
      <x:c r="L39" s="49" t="str">
        <x:v>2019 Audi Q7 55 Premium</x:v>
      </x:c>
      <x:c r="M39" s="253"/>
      <x:c r="N39" s="257"/>
      <x:c r="O39" s="49" t="str">
        <x:v>Price not exposed</x:v>
      </x:c>
      <x:c r="P39" s="49" t="str">
        <x:v>VEH-9B44A3C24C98</x:v>
      </x:c>
      <x:c r="Q39" s="49" t="str">
        <x:v>ARPI9B44A3C24C98E</x:v>
      </x:c>
      <x:c r="R39" s="249" t="n">
        <x:v>1</x:v>
      </x:c>
      <x:c r="S39" s="49" t="str">
        <x:v>Sanitized public reference data</x:v>
      </x:c>
    </x:row>
    <x:row r="40" ht="20" customHeight="1">
      <x:c r="A40" s="49" t="str">
        <x:v>GSA003-20260802-0039</x:v>
      </x:c>
      <x:c r="B40" s="49" t="str">
        <x:v>GSA-003</x:v>
      </x:c>
      <x:c r="C40" s="49" t="str">
        <x:v>Granite Used Auto Center of Merrimack</x:v>
      </x:c>
      <x:c r="D40" s="245" t="n">
        <x:v>46236</x:v>
      </x:c>
      <x:c r="E40" s="49" t="str">
        <x:v>GSA003-20260802-001</x:v>
      </x:c>
      <x:c r="F40" s="49" t="str">
        <x:v>sanitized_public_inventory_reference</x:v>
      </x:c>
      <x:c r="G40" s="49" t="str">
        <x:v>Used</x:v>
      </x:c>
      <x:c r="H40" s="249" t="n">
        <x:v>2018</x:v>
      </x:c>
      <x:c r="I40" s="49" t="str">
        <x:v>Nissan</x:v>
      </x:c>
      <x:c r="J40" s="49" t="str">
        <x:v>Rogue</x:v>
      </x:c>
      <x:c r="K40" s="49" t="str">
        <x:v>SV</x:v>
      </x:c>
      <x:c r="L40" s="49" t="str">
        <x:v>2018 Nissan Rogue SV</x:v>
      </x:c>
      <x:c r="M40" s="253"/>
      <x:c r="N40" s="257"/>
      <x:c r="O40" s="49" t="str">
        <x:v>Price not exposed</x:v>
      </x:c>
      <x:c r="P40" s="49" t="str">
        <x:v>VEH-683F50EA9135</x:v>
      </x:c>
      <x:c r="Q40" s="49" t="str">
        <x:v>ARPI683F50EA91350</x:v>
      </x:c>
      <x:c r="R40" s="249" t="n">
        <x:v>1</x:v>
      </x:c>
      <x:c r="S40" s="49" t="str">
        <x:v>Sanitized public reference data</x:v>
      </x:c>
    </x:row>
    <x:row r="41" ht="20" customHeight="1">
      <x:c r="A41" s="49" t="str">
        <x:v>GSA003-20260802-0040</x:v>
      </x:c>
      <x:c r="B41" s="49" t="str">
        <x:v>GSA-003</x:v>
      </x:c>
      <x:c r="C41" s="49" t="str">
        <x:v>Granite Used Auto Center of Merrimack</x:v>
      </x:c>
      <x:c r="D41" s="245" t="n">
        <x:v>46236</x:v>
      </x:c>
      <x:c r="E41" s="49" t="str">
        <x:v>GSA003-20260802-001</x:v>
      </x:c>
      <x:c r="F41" s="49" t="str">
        <x:v>sanitized_public_inventory_reference</x:v>
      </x:c>
      <x:c r="G41" s="49" t="str">
        <x:v>Used</x:v>
      </x:c>
      <x:c r="H41" s="249" t="n">
        <x:v>2023</x:v>
      </x:c>
      <x:c r="I41" s="49" t="str">
        <x:v>Chevrolet</x:v>
      </x:c>
      <x:c r="J41" s="49" t="str">
        <x:v>Malibu</x:v>
      </x:c>
      <x:c r="K41" s="49" t="str">
        <x:v>LT</x:v>
      </x:c>
      <x:c r="L41" s="49" t="str">
        <x:v>2023 Chevrolet Malibu LT</x:v>
      </x:c>
      <x:c r="M41" s="253"/>
      <x:c r="N41" s="257"/>
      <x:c r="O41" s="49" t="str">
        <x:v>Price not exposed</x:v>
      </x:c>
      <x:c r="P41" s="49" t="str">
        <x:v>VEH-4D293FECBBEE</x:v>
      </x:c>
      <x:c r="Q41" s="49" t="str">
        <x:v>ARPI4D293FECBBEE0</x:v>
      </x:c>
      <x:c r="R41" s="249" t="n">
        <x:v>1</x:v>
      </x:c>
      <x:c r="S41" s="49" t="str">
        <x:v>Sanitized public reference data</x:v>
      </x:c>
    </x:row>
    <x:row r="42" ht="20" customHeight="1">
      <x:c r="A42" s="49" t="str">
        <x:v>GSA003-20260802-0041</x:v>
      </x:c>
      <x:c r="B42" s="49" t="str">
        <x:v>GSA-003</x:v>
      </x:c>
      <x:c r="C42" s="49" t="str">
        <x:v>Granite Used Auto Center of Merrimack</x:v>
      </x:c>
      <x:c r="D42" s="245" t="n">
        <x:v>46236</x:v>
      </x:c>
      <x:c r="E42" s="49" t="str">
        <x:v>GSA003-20260802-001</x:v>
      </x:c>
      <x:c r="F42" s="49" t="str">
        <x:v>sanitized_public_inventory_reference</x:v>
      </x:c>
      <x:c r="G42" s="49" t="str">
        <x:v>Used</x:v>
      </x:c>
      <x:c r="H42" s="249" t="n">
        <x:v>2020</x:v>
      </x:c>
      <x:c r="I42" s="49" t="str">
        <x:v>Nissan</x:v>
      </x:c>
      <x:c r="J42" s="49" t="str">
        <x:v>Rogue</x:v>
      </x:c>
      <x:c r="K42" s="49" t="str">
        <x:v>SV</x:v>
      </x:c>
      <x:c r="L42" s="49" t="str">
        <x:v>2020 Nissan Rogue SV</x:v>
      </x:c>
      <x:c r="M42" s="253"/>
      <x:c r="N42" s="257"/>
      <x:c r="O42" s="49" t="str">
        <x:v>Price not exposed</x:v>
      </x:c>
      <x:c r="P42" s="49" t="str">
        <x:v>VEH-2A3B49CD987A</x:v>
      </x:c>
      <x:c r="Q42" s="49" t="str">
        <x:v>ARPI2A3B49CD987A0</x:v>
      </x:c>
      <x:c r="R42" s="249" t="n">
        <x:v>1</x:v>
      </x:c>
      <x:c r="S42" s="49" t="str">
        <x:v>Sanitized public reference data</x:v>
      </x:c>
    </x:row>
    <x:row r="43" ht="20" customHeight="1">
      <x:c r="A43" s="49" t="str">
        <x:v>GSA003-20260802-0042</x:v>
      </x:c>
      <x:c r="B43" s="49" t="str">
        <x:v>GSA-003</x:v>
      </x:c>
      <x:c r="C43" s="49" t="str">
        <x:v>Granite Used Auto Center of Merrimack</x:v>
      </x:c>
      <x:c r="D43" s="245" t="n">
        <x:v>46236</x:v>
      </x:c>
      <x:c r="E43" s="49" t="str">
        <x:v>GSA003-20260802-001</x:v>
      </x:c>
      <x:c r="F43" s="49" t="str">
        <x:v>sanitized_public_inventory_reference</x:v>
      </x:c>
      <x:c r="G43" s="49" t="str">
        <x:v>Used</x:v>
      </x:c>
      <x:c r="H43" s="249" t="n">
        <x:v>2018</x:v>
      </x:c>
      <x:c r="I43" s="49" t="str">
        <x:v>Jeep</x:v>
      </x:c>
      <x:c r="J43" s="49" t="str">
        <x:v>Compass</x:v>
      </x:c>
      <x:c r="K43" s="49" t="str">
        <x:v>Limited</x:v>
      </x:c>
      <x:c r="L43" s="49" t="str">
        <x:v>2018 Jeep Compass Limited</x:v>
      </x:c>
      <x:c r="M43" s="253"/>
      <x:c r="N43" s="257"/>
      <x:c r="O43" s="49" t="str">
        <x:v>Price not exposed</x:v>
      </x:c>
      <x:c r="P43" s="49" t="str">
        <x:v>VEH-A7EA68260307</x:v>
      </x:c>
      <x:c r="Q43" s="49" t="str">
        <x:v>ARPIA7EA682603075</x:v>
      </x:c>
      <x:c r="R43" s="249" t="n">
        <x:v>1</x:v>
      </x:c>
      <x:c r="S43" s="49" t="str">
        <x:v>Sanitized public reference data</x:v>
      </x:c>
    </x:row>
    <x:row r="44" ht="20" customHeight="1">
      <x:c r="A44" s="49" t="str">
        <x:v>GSA003-20260802-0043</x:v>
      </x:c>
      <x:c r="B44" s="49" t="str">
        <x:v>GSA-003</x:v>
      </x:c>
      <x:c r="C44" s="49" t="str">
        <x:v>Granite Used Auto Center of Merrimack</x:v>
      </x:c>
      <x:c r="D44" s="245" t="n">
        <x:v>46236</x:v>
      </x:c>
      <x:c r="E44" s="49" t="str">
        <x:v>GSA003-20260802-001</x:v>
      </x:c>
      <x:c r="F44" s="49" t="str">
        <x:v>sanitized_public_inventory_reference</x:v>
      </x:c>
      <x:c r="G44" s="49" t="str">
        <x:v>Used</x:v>
      </x:c>
      <x:c r="H44" s="249" t="n">
        <x:v>2022</x:v>
      </x:c>
      <x:c r="I44" s="49" t="str">
        <x:v>Nissan</x:v>
      </x:c>
      <x:c r="J44" s="49" t="str">
        <x:v>Sentra</x:v>
      </x:c>
      <x:c r="K44" s="49" t="str">
        <x:v>SV</x:v>
      </x:c>
      <x:c r="L44" s="49" t="str">
        <x:v>2022 Nissan Sentra SV</x:v>
      </x:c>
      <x:c r="M44" s="253" t="n">
        <x:v>60199</x:v>
      </x:c>
      <x:c r="N44" s="257" t="n">
        <x:v>16395</x:v>
      </x:c>
      <x:c r="O44" s="49" t="str">
        <x:v>Listed</x:v>
      </x:c>
      <x:c r="P44" s="49" t="str">
        <x:v>VEH-6EC1C528A2DC</x:v>
      </x:c>
      <x:c r="Q44" s="49" t="str">
        <x:v>ARPI6EC1C528A2DCE</x:v>
      </x:c>
      <x:c r="R44" s="249" t="n">
        <x:v>1</x:v>
      </x:c>
      <x:c r="S44" s="49" t="str">
        <x:v>Sanitized public reference data</x:v>
      </x:c>
    </x:row>
    <x:row r="45" ht="20" customHeight="1">
      <x:c r="A45" s="49" t="str">
        <x:v>GSA003-20260802-0044</x:v>
      </x:c>
      <x:c r="B45" s="49" t="str">
        <x:v>GSA-003</x:v>
      </x:c>
      <x:c r="C45" s="49" t="str">
        <x:v>Granite Used Auto Center of Merrimack</x:v>
      </x:c>
      <x:c r="D45" s="245" t="n">
        <x:v>46236</x:v>
      </x:c>
      <x:c r="E45" s="49" t="str">
        <x:v>GSA003-20260802-001</x:v>
      </x:c>
      <x:c r="F45" s="49" t="str">
        <x:v>sanitized_public_inventory_reference</x:v>
      </x:c>
      <x:c r="G45" s="49" t="str">
        <x:v>Used</x:v>
      </x:c>
      <x:c r="H45" s="249" t="n">
        <x:v>2019</x:v>
      </x:c>
      <x:c r="I45" s="49" t="str">
        <x:v>GMC</x:v>
      </x:c>
      <x:c r="J45" s="49" t="str">
        <x:v>Terrain</x:v>
      </x:c>
      <x:c r="K45" s="49" t="str">
        <x:v>SLT</x:v>
      </x:c>
      <x:c r="L45" s="49" t="str">
        <x:v>2019 GMC Terrain SLT</x:v>
      </x:c>
      <x:c r="M45" s="253"/>
      <x:c r="N45" s="257"/>
      <x:c r="O45" s="49" t="str">
        <x:v>Price not exposed</x:v>
      </x:c>
      <x:c r="P45" s="49" t="str">
        <x:v>VEH-FF418D8BCBF5</x:v>
      </x:c>
      <x:c r="Q45" s="49" t="str">
        <x:v>ARPIFF418D8BCBF5C</x:v>
      </x:c>
      <x:c r="R45" s="249" t="n">
        <x:v>1</x:v>
      </x:c>
      <x:c r="S45" s="49" t="str">
        <x:v>Sanitized public reference data</x:v>
      </x:c>
    </x:row>
    <x:row r="46" ht="20" customHeight="1">
      <x:c r="A46" s="49" t="str">
        <x:v>GSA003-20260802-0045</x:v>
      </x:c>
      <x:c r="B46" s="49" t="str">
        <x:v>GSA-003</x:v>
      </x:c>
      <x:c r="C46" s="49" t="str">
        <x:v>Granite Used Auto Center of Merrimack</x:v>
      </x:c>
      <x:c r="D46" s="245" t="n">
        <x:v>46236</x:v>
      </x:c>
      <x:c r="E46" s="49" t="str">
        <x:v>GSA003-20260802-001</x:v>
      </x:c>
      <x:c r="F46" s="49" t="str">
        <x:v>sanitized_public_inventory_reference</x:v>
      </x:c>
      <x:c r="G46" s="49" t="str">
        <x:v>Used</x:v>
      </x:c>
      <x:c r="H46" s="249" t="n">
        <x:v>2019</x:v>
      </x:c>
      <x:c r="I46" s="49" t="str">
        <x:v>Toyota</x:v>
      </x:c>
      <x:c r="J46" s="49" t="str">
        <x:v>Camry</x:v>
      </x:c>
      <x:c r="K46" s="49" t="str">
        <x:v>LE</x:v>
      </x:c>
      <x:c r="L46" s="49" t="str">
        <x:v>2019 Toyota Camry LE</x:v>
      </x:c>
      <x:c r="M46" s="253"/>
      <x:c r="N46" s="257"/>
      <x:c r="O46" s="49" t="str">
        <x:v>Price not exposed</x:v>
      </x:c>
      <x:c r="P46" s="49" t="str">
        <x:v>VEH-123087D75EB2</x:v>
      </x:c>
      <x:c r="Q46" s="49" t="str">
        <x:v>ARPI123087D75EB25</x:v>
      </x:c>
      <x:c r="R46" s="249" t="n">
        <x:v>1</x:v>
      </x:c>
      <x:c r="S46" s="49" t="str">
        <x:v>Sanitized public reference data</x:v>
      </x:c>
    </x:row>
    <x:row r="47" ht="20" customHeight="1">
      <x:c r="A47" s="49" t="str">
        <x:v>GSA003-20260802-0046</x:v>
      </x:c>
      <x:c r="B47" s="49" t="str">
        <x:v>GSA-003</x:v>
      </x:c>
      <x:c r="C47" s="49" t="str">
        <x:v>Granite Used Auto Center of Merrimack</x:v>
      </x:c>
      <x:c r="D47" s="245" t="n">
        <x:v>46236</x:v>
      </x:c>
      <x:c r="E47" s="49" t="str">
        <x:v>GSA003-20260802-001</x:v>
      </x:c>
      <x:c r="F47" s="49" t="str">
        <x:v>sanitized_public_inventory_reference</x:v>
      </x:c>
      <x:c r="G47" s="49" t="str">
        <x:v>Used</x:v>
      </x:c>
      <x:c r="H47" s="249" t="n">
        <x:v>2018</x:v>
      </x:c>
      <x:c r="I47" s="49" t="str">
        <x:v>Jeep</x:v>
      </x:c>
      <x:c r="J47" s="49" t="str">
        <x:v>Cherokee</x:v>
      </x:c>
      <x:c r="K47" s="49" t="str">
        <x:v>Latitude</x:v>
      </x:c>
      <x:c r="L47" s="49" t="str">
        <x:v>2018 Jeep Cherokee Latitude</x:v>
      </x:c>
      <x:c r="M47" s="253"/>
      <x:c r="N47" s="257"/>
      <x:c r="O47" s="49" t="str">
        <x:v>Price not exposed</x:v>
      </x:c>
      <x:c r="P47" s="49" t="str">
        <x:v>VEH-1EADE83A9155</x:v>
      </x:c>
      <x:c r="Q47" s="49" t="str">
        <x:v>ARPI1EADE83A91558</x:v>
      </x:c>
      <x:c r="R47" s="249" t="n">
        <x:v>1</x:v>
      </x:c>
      <x:c r="S47" s="49" t="str">
        <x:v>Sanitized public reference data</x:v>
      </x:c>
    </x:row>
    <x:row r="48" ht="20" customHeight="1">
      <x:c r="A48" s="49" t="str">
        <x:v>GSA003-20260802-0047</x:v>
      </x:c>
      <x:c r="B48" s="49" t="str">
        <x:v>GSA-003</x:v>
      </x:c>
      <x:c r="C48" s="49" t="str">
        <x:v>Granite Used Auto Center of Merrimack</x:v>
      </x:c>
      <x:c r="D48" s="245" t="n">
        <x:v>46236</x:v>
      </x:c>
      <x:c r="E48" s="49" t="str">
        <x:v>GSA003-20260802-001</x:v>
      </x:c>
      <x:c r="F48" s="49" t="str">
        <x:v>sanitized_public_inventory_reference</x:v>
      </x:c>
      <x:c r="G48" s="49" t="str">
        <x:v>Used</x:v>
      </x:c>
      <x:c r="H48" s="249" t="n">
        <x:v>2021</x:v>
      </x:c>
      <x:c r="I48" s="49" t="str">
        <x:v>Jeep</x:v>
      </x:c>
      <x:c r="J48" s="49" t="str">
        <x:v>Compass</x:v>
      </x:c>
      <x:c r="K48" s="49" t="str">
        <x:v>Altitude</x:v>
      </x:c>
      <x:c r="L48" s="49" t="str">
        <x:v>2021 Jeep Compass Altitude</x:v>
      </x:c>
      <x:c r="M48" s="253"/>
      <x:c r="N48" s="257"/>
      <x:c r="O48" s="49" t="str">
        <x:v>Price not exposed</x:v>
      </x:c>
      <x:c r="P48" s="49" t="str">
        <x:v>VEH-1F466B2267E6</x:v>
      </x:c>
      <x:c r="Q48" s="49" t="str">
        <x:v>ARPI1F466B2267E6A</x:v>
      </x:c>
      <x:c r="R48" s="249" t="n">
        <x:v>1</x:v>
      </x:c>
      <x:c r="S48" s="49" t="str">
        <x:v>Sanitized public reference data</x:v>
      </x:c>
    </x:row>
    <x:row r="49" ht="20" customHeight="1">
      <x:c r="A49" s="49" t="str">
        <x:v>GSA003-20260802-0048</x:v>
      </x:c>
      <x:c r="B49" s="49" t="str">
        <x:v>GSA-003</x:v>
      </x:c>
      <x:c r="C49" s="49" t="str">
        <x:v>Granite Used Auto Center of Merrimack</x:v>
      </x:c>
      <x:c r="D49" s="245" t="n">
        <x:v>46236</x:v>
      </x:c>
      <x:c r="E49" s="49" t="str">
        <x:v>GSA003-20260802-001</x:v>
      </x:c>
      <x:c r="F49" s="49" t="str">
        <x:v>sanitized_public_inventory_reference</x:v>
      </x:c>
      <x:c r="G49" s="49" t="str">
        <x:v>Used</x:v>
      </x:c>
      <x:c r="H49" s="249" t="n">
        <x:v>2020</x:v>
      </x:c>
      <x:c r="I49" s="49" t="str">
        <x:v>Subaru</x:v>
      </x:c>
      <x:c r="J49" s="49" t="str">
        <x:v>WRX</x:v>
      </x:c>
      <x:c r="K49" s="49" t="str">
        <x:v>Premium</x:v>
      </x:c>
      <x:c r="L49" s="49" t="str">
        <x:v>2020 Subaru WRX Premium</x:v>
      </x:c>
      <x:c r="M49" s="253"/>
      <x:c r="N49" s="257"/>
      <x:c r="O49" s="49" t="str">
        <x:v>Price not exposed</x:v>
      </x:c>
      <x:c r="P49" s="49" t="str">
        <x:v>VEH-906BA89C77BD</x:v>
      </x:c>
      <x:c r="Q49" s="49" t="str">
        <x:v>ARPI906BA89C77BD6</x:v>
      </x:c>
      <x:c r="R49" s="249" t="n">
        <x:v>1</x:v>
      </x:c>
      <x:c r="S49" s="49" t="str">
        <x:v>Sanitized public reference data</x:v>
      </x:c>
    </x:row>
    <x:row r="50" ht="20" customHeight="1">
      <x:c r="A50" s="49" t="str">
        <x:v>GSA003-20260802-0049</x:v>
      </x:c>
      <x:c r="B50" s="49" t="str">
        <x:v>GSA-003</x:v>
      </x:c>
      <x:c r="C50" s="49" t="str">
        <x:v>Granite Used Auto Center of Merrimack</x:v>
      </x:c>
      <x:c r="D50" s="245" t="n">
        <x:v>46236</x:v>
      </x:c>
      <x:c r="E50" s="49" t="str">
        <x:v>GSA003-20260802-001</x:v>
      </x:c>
      <x:c r="F50" s="49" t="str">
        <x:v>sanitized_public_inventory_reference</x:v>
      </x:c>
      <x:c r="G50" s="49" t="str">
        <x:v>Used</x:v>
      </x:c>
      <x:c r="H50" s="249" t="n">
        <x:v>2015</x:v>
      </x:c>
      <x:c r="I50" s="49" t="str">
        <x:v>Mercedes-Benz</x:v>
      </x:c>
      <x:c r="J50" s="49" t="str">
        <x:v>GLA</x:v>
      </x:c>
      <x:c r="K50" s="49" t="str">
        <x:v>GLA 250</x:v>
      </x:c>
      <x:c r="L50" s="49" t="str">
        <x:v>2015 Mercedes-Benz GLA GLA 250</x:v>
      </x:c>
      <x:c r="M50" s="253"/>
      <x:c r="N50" s="257"/>
      <x:c r="O50" s="49" t="str">
        <x:v>Price not exposed</x:v>
      </x:c>
      <x:c r="P50" s="49" t="str">
        <x:v>VEH-DA55002F386B</x:v>
      </x:c>
      <x:c r="Q50" s="49" t="str">
        <x:v>ARPIDA55002F386B2</x:v>
      </x:c>
      <x:c r="R50" s="249" t="n">
        <x:v>1</x:v>
      </x:c>
      <x:c r="S50" s="49" t="str">
        <x:v>Sanitized public reference data</x:v>
      </x:c>
    </x:row>
    <x:row r="51" ht="20" customHeight="1">
      <x:c r="A51" s="49" t="str">
        <x:v>GSA003-20260802-0050</x:v>
      </x:c>
      <x:c r="B51" s="49" t="str">
        <x:v>GSA-003</x:v>
      </x:c>
      <x:c r="C51" s="49" t="str">
        <x:v>Granite Used Auto Center of Merrimack</x:v>
      </x:c>
      <x:c r="D51" s="245" t="n">
        <x:v>46236</x:v>
      </x:c>
      <x:c r="E51" s="49" t="str">
        <x:v>GSA003-20260802-001</x:v>
      </x:c>
      <x:c r="F51" s="49" t="str">
        <x:v>sanitized_public_inventory_reference</x:v>
      </x:c>
      <x:c r="G51" s="49" t="str">
        <x:v>Used</x:v>
      </x:c>
      <x:c r="H51" s="249" t="n">
        <x:v>2018</x:v>
      </x:c>
      <x:c r="I51" s="49" t="str">
        <x:v>Hyundai</x:v>
      </x:c>
      <x:c r="J51" s="49" t="str">
        <x:v>Tucson</x:v>
      </x:c>
      <x:c r="K51" s="49" t="str">
        <x:v>SEL</x:v>
      </x:c>
      <x:c r="L51" s="49" t="str">
        <x:v>2018 Hyundai Tucson SEL</x:v>
      </x:c>
      <x:c r="M51" s="253"/>
      <x:c r="N51" s="257"/>
      <x:c r="O51" s="49" t="str">
        <x:v>Price not exposed</x:v>
      </x:c>
      <x:c r="P51" s="49" t="str">
        <x:v>VEH-F86D47BC5528</x:v>
      </x:c>
      <x:c r="Q51" s="49" t="str">
        <x:v>ARPIF86D47BC55280</x:v>
      </x:c>
      <x:c r="R51" s="249" t="n">
        <x:v>1</x:v>
      </x:c>
      <x:c r="S51" s="49" t="str">
        <x:v>Sanitized public reference data</x:v>
      </x:c>
    </x:row>
    <x:row r="52" ht="20" customHeight="1">
      <x:c r="A52" s="49" t="str">
        <x:v>GSA003-20260802-0051</x:v>
      </x:c>
      <x:c r="B52" s="49" t="str">
        <x:v>GSA-003</x:v>
      </x:c>
      <x:c r="C52" s="49" t="str">
        <x:v>Granite Used Auto Center of Merrimack</x:v>
      </x:c>
      <x:c r="D52" s="245" t="n">
        <x:v>46236</x:v>
      </x:c>
      <x:c r="E52" s="49" t="str">
        <x:v>GSA003-20260802-001</x:v>
      </x:c>
      <x:c r="F52" s="49" t="str">
        <x:v>sanitized_public_inventory_reference</x:v>
      </x:c>
      <x:c r="G52" s="49" t="str">
        <x:v>Used</x:v>
      </x:c>
      <x:c r="H52" s="249" t="n">
        <x:v>2017</x:v>
      </x:c>
      <x:c r="I52" s="49" t="str">
        <x:v>Nissan</x:v>
      </x:c>
      <x:c r="J52" s="49" t="str">
        <x:v>Pathfinder</x:v>
      </x:c>
      <x:c r="K52" s="49" t="str">
        <x:v>Platinum</x:v>
      </x:c>
      <x:c r="L52" s="49" t="str">
        <x:v>2017 Nissan Pathfinder Platinum</x:v>
      </x:c>
      <x:c r="M52" s="253"/>
      <x:c r="N52" s="257"/>
      <x:c r="O52" s="49" t="str">
        <x:v>Price not exposed</x:v>
      </x:c>
      <x:c r="P52" s="49" t="str">
        <x:v>VEH-BA950F1F2318</x:v>
      </x:c>
      <x:c r="Q52" s="49" t="str">
        <x:v>ARPIBA950F1F23180</x:v>
      </x:c>
      <x:c r="R52" s="249" t="n">
        <x:v>1</x:v>
      </x:c>
      <x:c r="S52" s="49" t="str">
        <x:v>Sanitized public reference data</x:v>
      </x:c>
    </x:row>
    <x:row r="53" ht="20" customHeight="1">
      <x:c r="A53" s="49" t="str">
        <x:v>GSA003-20260802-0052</x:v>
      </x:c>
      <x:c r="B53" s="49" t="str">
        <x:v>GSA-003</x:v>
      </x:c>
      <x:c r="C53" s="49" t="str">
        <x:v>Granite Used Auto Center of Merrimack</x:v>
      </x:c>
      <x:c r="D53" s="245" t="n">
        <x:v>46236</x:v>
      </x:c>
      <x:c r="E53" s="49" t="str">
        <x:v>GSA003-20260802-001</x:v>
      </x:c>
      <x:c r="F53" s="49" t="str">
        <x:v>sanitized_public_inventory_reference</x:v>
      </x:c>
      <x:c r="G53" s="49" t="str">
        <x:v>Used</x:v>
      </x:c>
      <x:c r="H53" s="249" t="n">
        <x:v>2020</x:v>
      </x:c>
      <x:c r="I53" s="49" t="str">
        <x:v>Honda</x:v>
      </x:c>
      <x:c r="J53" s="49" t="str">
        <x:v>Civic</x:v>
      </x:c>
      <x:c r="K53" s="49" t="str">
        <x:v>EX-L</x:v>
      </x:c>
      <x:c r="L53" s="49" t="str">
        <x:v>2020 Honda Civic EX-L</x:v>
      </x:c>
      <x:c r="M53" s="253"/>
      <x:c r="N53" s="257"/>
      <x:c r="O53" s="49" t="str">
        <x:v>Price not exposed</x:v>
      </x:c>
      <x:c r="P53" s="49" t="str">
        <x:v>VEH-C624CE66B32D</x:v>
      </x:c>
      <x:c r="Q53" s="49" t="str">
        <x:v>ARPIC624CE66B32DA</x:v>
      </x:c>
      <x:c r="R53" s="249" t="n">
        <x:v>1</x:v>
      </x:c>
      <x:c r="S53" s="49" t="str">
        <x:v>Sanitized public reference data</x:v>
      </x:c>
    </x:row>
    <x:row r="54" ht="20" customHeight="1">
      <x:c r="A54" s="49" t="str">
        <x:v>GSA003-20260802-0053</x:v>
      </x:c>
      <x:c r="B54" s="49" t="str">
        <x:v>GSA-003</x:v>
      </x:c>
      <x:c r="C54" s="49" t="str">
        <x:v>Granite Used Auto Center of Merrimack</x:v>
      </x:c>
      <x:c r="D54" s="245" t="n">
        <x:v>46236</x:v>
      </x:c>
      <x:c r="E54" s="49" t="str">
        <x:v>GSA003-20260802-001</x:v>
      </x:c>
      <x:c r="F54" s="49" t="str">
        <x:v>sanitized_public_inventory_reference</x:v>
      </x:c>
      <x:c r="G54" s="49" t="str">
        <x:v>Used</x:v>
      </x:c>
      <x:c r="H54" s="249" t="n">
        <x:v>2016</x:v>
      </x:c>
      <x:c r="I54" s="49" t="str">
        <x:v>BMW</x:v>
      </x:c>
      <x:c r="J54" s="49" t="str">
        <x:v>3 Series</x:v>
      </x:c>
      <x:c r="K54" s="49" t="str">
        <x:v>328i xDrive</x:v>
      </x:c>
      <x:c r="L54" s="49" t="str">
        <x:v>2016 BMW 3 Series 328i xDrive</x:v>
      </x:c>
      <x:c r="M54" s="253"/>
      <x:c r="N54" s="257"/>
      <x:c r="O54" s="49" t="str">
        <x:v>Price not exposed</x:v>
      </x:c>
      <x:c r="P54" s="49" t="str">
        <x:v>VEH-A79A2395B2B7</x:v>
      </x:c>
      <x:c r="Q54" s="49" t="str">
        <x:v>ARPIA79A2395B2B74</x:v>
      </x:c>
      <x:c r="R54" s="249" t="n">
        <x:v>1</x:v>
      </x:c>
      <x:c r="S54" s="49" t="str">
        <x:v>Sanitized public reference data</x:v>
      </x:c>
    </x:row>
    <x:row r="55" ht="20" customHeight="1">
      <x:c r="A55" s="49" t="str">
        <x:v>GSA003-20260802-0054</x:v>
      </x:c>
      <x:c r="B55" s="49" t="str">
        <x:v>GSA-003</x:v>
      </x:c>
      <x:c r="C55" s="49" t="str">
        <x:v>Granite Used Auto Center of Merrimack</x:v>
      </x:c>
      <x:c r="D55" s="245" t="n">
        <x:v>46236</x:v>
      </x:c>
      <x:c r="E55" s="49" t="str">
        <x:v>GSA003-20260802-001</x:v>
      </x:c>
      <x:c r="F55" s="49" t="str">
        <x:v>sanitized_public_inventory_reference</x:v>
      </x:c>
      <x:c r="G55" s="49" t="str">
        <x:v>Used</x:v>
      </x:c>
      <x:c r="H55" s="249" t="n">
        <x:v>2016</x:v>
      </x:c>
      <x:c r="I55" s="49" t="str">
        <x:v>Jeep</x:v>
      </x:c>
      <x:c r="J55" s="49" t="str">
        <x:v>Wrangler Unlimited</x:v>
      </x:c>
      <x:c r="K55" s="49" t="str">
        <x:v>Sport</x:v>
      </x:c>
      <x:c r="L55" s="49" t="str">
        <x:v>2016 Jeep Wrangler Unlimited Sport</x:v>
      </x:c>
      <x:c r="M55" s="253"/>
      <x:c r="N55" s="257"/>
      <x:c r="O55" s="49" t="str">
        <x:v>Price not exposed</x:v>
      </x:c>
      <x:c r="P55" s="49" t="str">
        <x:v>VEH-CBE3FAA6C1F4</x:v>
      </x:c>
      <x:c r="Q55" s="49" t="str">
        <x:v>ARPICBE3FAA6C1F41</x:v>
      </x:c>
      <x:c r="R55" s="249" t="n">
        <x:v>1</x:v>
      </x:c>
      <x:c r="S55" s="49" t="str">
        <x:v>Sanitized public reference data</x:v>
      </x:c>
    </x:row>
    <x:row r="56" ht="20" customHeight="1">
      <x:c r="A56" s="49" t="str">
        <x:v>GSA003-20260802-0055</x:v>
      </x:c>
      <x:c r="B56" s="49" t="str">
        <x:v>GSA-003</x:v>
      </x:c>
      <x:c r="C56" s="49" t="str">
        <x:v>Granite Used Auto Center of Merrimack</x:v>
      </x:c>
      <x:c r="D56" s="245" t="n">
        <x:v>46236</x:v>
      </x:c>
      <x:c r="E56" s="49" t="str">
        <x:v>GSA003-20260802-001</x:v>
      </x:c>
      <x:c r="F56" s="49" t="str">
        <x:v>sanitized_public_inventory_reference</x:v>
      </x:c>
      <x:c r="G56" s="49" t="str">
        <x:v>Used</x:v>
      </x:c>
      <x:c r="H56" s="249" t="n">
        <x:v>2016</x:v>
      </x:c>
      <x:c r="I56" s="49" t="str">
        <x:v>Subaru</x:v>
      </x:c>
      <x:c r="J56" s="49" t="str">
        <x:v>Legacy</x:v>
      </x:c>
      <x:c r="K56" s="49" t="str">
        <x:v>2.5i</x:v>
      </x:c>
      <x:c r="L56" s="49" t="str">
        <x:v>2016 Subaru Legacy 2.5i</x:v>
      </x:c>
      <x:c r="M56" s="253"/>
      <x:c r="N56" s="257"/>
      <x:c r="O56" s="49" t="str">
        <x:v>Price not exposed</x:v>
      </x:c>
      <x:c r="P56" s="49" t="str">
        <x:v>VEH-6EE1946C05FB</x:v>
      </x:c>
      <x:c r="Q56" s="49" t="str">
        <x:v>ARPI6EE1946C05FB7</x:v>
      </x:c>
      <x:c r="R56" s="249" t="n">
        <x:v>1</x:v>
      </x:c>
      <x:c r="S56" s="49" t="str">
        <x:v>Sanitized public reference data</x:v>
      </x:c>
    </x:row>
    <x:row r="57" ht="20" customHeight="1">
      <x:c r="A57" s="49" t="str">
        <x:v>GSA003-20260802-0056</x:v>
      </x:c>
      <x:c r="B57" s="49" t="str">
        <x:v>GSA-003</x:v>
      </x:c>
      <x:c r="C57" s="49" t="str">
        <x:v>Granite Used Auto Center of Merrimack</x:v>
      </x:c>
      <x:c r="D57" s="245" t="n">
        <x:v>46236</x:v>
      </x:c>
      <x:c r="E57" s="49" t="str">
        <x:v>GSA003-20260802-001</x:v>
      </x:c>
      <x:c r="F57" s="49" t="str">
        <x:v>sanitized_public_inventory_reference</x:v>
      </x:c>
      <x:c r="G57" s="49" t="str">
        <x:v>Used</x:v>
      </x:c>
      <x:c r="H57" s="249" t="n">
        <x:v>2013</x:v>
      </x:c>
      <x:c r="I57" s="49" t="str">
        <x:v>Mercedes-Benz</x:v>
      </x:c>
      <x:c r="J57" s="49" t="str">
        <x:v>GL-Class</x:v>
      </x:c>
      <x:c r="K57" s="49" t="str">
        <x:v>GL 450</x:v>
      </x:c>
      <x:c r="L57" s="49" t="str">
        <x:v>2013 Mercedes-Benz GL-Class GL 450</x:v>
      </x:c>
      <x:c r="M57" s="253"/>
      <x:c r="N57" s="257"/>
      <x:c r="O57" s="49" t="str">
        <x:v>Price not exposed</x:v>
      </x:c>
      <x:c r="P57" s="49" t="str">
        <x:v>VEH-DCF3546F35F9</x:v>
      </x:c>
      <x:c r="Q57" s="49" t="str">
        <x:v>ARPIDCF3546F35F91</x:v>
      </x:c>
      <x:c r="R57" s="249" t="n">
        <x:v>1</x:v>
      </x:c>
      <x:c r="S57" s="49" t="str">
        <x:v>Sanitized public reference data</x:v>
      </x:c>
    </x:row>
    <x:row r="58" ht="20" customHeight="1">
      <x:c r="A58" s="49" t="str">
        <x:v>GSA003-20260802-0057</x:v>
      </x:c>
      <x:c r="B58" s="49" t="str">
        <x:v>GSA-003</x:v>
      </x:c>
      <x:c r="C58" s="49" t="str">
        <x:v>Granite Used Auto Center of Merrimack</x:v>
      </x:c>
      <x:c r="D58" s="245" t="n">
        <x:v>46236</x:v>
      </x:c>
      <x:c r="E58" s="49" t="str">
        <x:v>GSA003-20260802-001</x:v>
      </x:c>
      <x:c r="F58" s="49" t="str">
        <x:v>sanitized_public_inventory_reference</x:v>
      </x:c>
      <x:c r="G58" s="49" t="str">
        <x:v>Used</x:v>
      </x:c>
      <x:c r="H58" s="249" t="n">
        <x:v>2016</x:v>
      </x:c>
      <x:c r="I58" s="49" t="str">
        <x:v>Jeep</x:v>
      </x:c>
      <x:c r="J58" s="49" t="str">
        <x:v>Compass</x:v>
      </x:c>
      <x:c r="K58" s="49" t="str">
        <x:v>Sport</x:v>
      </x:c>
      <x:c r="L58" s="49" t="str">
        <x:v>2016 Jeep Compass Sport</x:v>
      </x:c>
      <x:c r="M58" s="253"/>
      <x:c r="N58" s="257"/>
      <x:c r="O58" s="49" t="str">
        <x:v>Price not exposed</x:v>
      </x:c>
      <x:c r="P58" s="49" t="str">
        <x:v>VEH-6B7C73145F89</x:v>
      </x:c>
      <x:c r="Q58" s="49" t="str">
        <x:v>ARPI6B7C73145F89E</x:v>
      </x:c>
      <x:c r="R58" s="249" t="n">
        <x:v>1</x:v>
      </x:c>
      <x:c r="S58" s="49" t="str">
        <x:v>Sanitized public reference data</x:v>
      </x:c>
    </x:row>
    <x:row r="59" ht="20" customHeight="1">
      <x:c r="A59" s="49" t="str">
        <x:v>GSA003-20260802-0058</x:v>
      </x:c>
      <x:c r="B59" s="49" t="str">
        <x:v>GSA-003</x:v>
      </x:c>
      <x:c r="C59" s="49" t="str">
        <x:v>Granite Used Auto Center of Merrimack</x:v>
      </x:c>
      <x:c r="D59" s="245" t="n">
        <x:v>46236</x:v>
      </x:c>
      <x:c r="E59" s="49" t="str">
        <x:v>GSA003-20260802-001</x:v>
      </x:c>
      <x:c r="F59" s="49" t="str">
        <x:v>sanitized_public_inventory_reference</x:v>
      </x:c>
      <x:c r="G59" s="49" t="str">
        <x:v>Used</x:v>
      </x:c>
      <x:c r="H59" s="249" t="n">
        <x:v>2018</x:v>
      </x:c>
      <x:c r="I59" s="49" t="str">
        <x:v>Mazda</x:v>
      </x:c>
      <x:c r="J59" s="49" t="str">
        <x:v>Mazda6</x:v>
      </x:c>
      <x:c r="K59" s="49" t="str">
        <x:v>Sport</x:v>
      </x:c>
      <x:c r="L59" s="49" t="str">
        <x:v>2018 Mazda Mazda6 Sport</x:v>
      </x:c>
      <x:c r="M59" s="253"/>
      <x:c r="N59" s="257"/>
      <x:c r="O59" s="49" t="str">
        <x:v>Price not exposed</x:v>
      </x:c>
      <x:c r="P59" s="49" t="str">
        <x:v>VEH-60876812BEC1</x:v>
      </x:c>
      <x:c r="Q59" s="49" t="str">
        <x:v>ARPI60876812BEC10</x:v>
      </x:c>
      <x:c r="R59" s="249" t="n">
        <x:v>1</x:v>
      </x:c>
      <x:c r="S59" s="49" t="str">
        <x:v>Sanitized public reference data</x:v>
      </x:c>
    </x:row>
    <x:row r="60" ht="20" customHeight="1">
      <x:c r="A60" s="49" t="str">
        <x:v>GSA003-20260802-0059</x:v>
      </x:c>
      <x:c r="B60" s="49" t="str">
        <x:v>GSA-003</x:v>
      </x:c>
      <x:c r="C60" s="49" t="str">
        <x:v>Granite Used Auto Center of Merrimack</x:v>
      </x:c>
      <x:c r="D60" s="245" t="n">
        <x:v>46236</x:v>
      </x:c>
      <x:c r="E60" s="49" t="str">
        <x:v>GSA003-20260802-001</x:v>
      </x:c>
      <x:c r="F60" s="49" t="str">
        <x:v>sanitized_public_inventory_reference</x:v>
      </x:c>
      <x:c r="G60" s="49" t="str">
        <x:v>Used</x:v>
      </x:c>
      <x:c r="H60" s="249" t="n">
        <x:v>2020</x:v>
      </x:c>
      <x:c r="I60" s="49" t="str">
        <x:v>Nissan</x:v>
      </x:c>
      <x:c r="J60" s="49" t="str">
        <x:v>Murano</x:v>
      </x:c>
      <x:c r="K60" s="49" t="str">
        <x:v>SL</x:v>
      </x:c>
      <x:c r="L60" s="49" t="str">
        <x:v>2020 Nissan Murano SL</x:v>
      </x:c>
      <x:c r="M60" s="253"/>
      <x:c r="N60" s="257"/>
      <x:c r="O60" s="49" t="str">
        <x:v>Price not exposed</x:v>
      </x:c>
      <x:c r="P60" s="49" t="str">
        <x:v>VEH-1540F09F53DD</x:v>
      </x:c>
      <x:c r="Q60" s="49" t="str">
        <x:v>ARPI1540F09F53DD4</x:v>
      </x:c>
      <x:c r="R60" s="249" t="n">
        <x:v>1</x:v>
      </x:c>
      <x:c r="S60" s="49" t="str">
        <x:v>Sanitized public reference data</x:v>
      </x:c>
    </x:row>
    <x:row r="61" ht="20" customHeight="1">
      <x:c r="A61" s="49" t="str">
        <x:v>GSA003-20260802-0060</x:v>
      </x:c>
      <x:c r="B61" s="49" t="str">
        <x:v>GSA-003</x:v>
      </x:c>
      <x:c r="C61" s="49" t="str">
        <x:v>Granite Used Auto Center of Merrimack</x:v>
      </x:c>
      <x:c r="D61" s="245" t="n">
        <x:v>46236</x:v>
      </x:c>
      <x:c r="E61" s="49" t="str">
        <x:v>GSA003-20260802-001</x:v>
      </x:c>
      <x:c r="F61" s="49" t="str">
        <x:v>sanitized_public_inventory_reference</x:v>
      </x:c>
      <x:c r="G61" s="49" t="str">
        <x:v>Used</x:v>
      </x:c>
      <x:c r="H61" s="249" t="n">
        <x:v>2016</x:v>
      </x:c>
      <x:c r="I61" s="49" t="str">
        <x:v>Honda</x:v>
      </x:c>
      <x:c r="J61" s="49" t="str">
        <x:v>CR-V</x:v>
      </x:c>
      <x:c r="K61" s="49" t="str">
        <x:v>LX</x:v>
      </x:c>
      <x:c r="L61" s="49" t="str">
        <x:v>2016 Honda CR-V LX</x:v>
      </x:c>
      <x:c r="M61" s="253"/>
      <x:c r="N61" s="257"/>
      <x:c r="O61" s="49" t="str">
        <x:v>Price not exposed</x:v>
      </x:c>
      <x:c r="P61" s="49" t="str">
        <x:v>VEH-8EC66D46297F</x:v>
      </x:c>
      <x:c r="Q61" s="49" t="str">
        <x:v>ARPI8EC66D46297F6</x:v>
      </x:c>
      <x:c r="R61" s="249" t="n">
        <x:v>1</x:v>
      </x:c>
      <x:c r="S61" s="49" t="str">
        <x:v>Sanitized public reference data</x:v>
      </x:c>
    </x:row>
    <x:row r="62" ht="20" customHeight="1">
      <x:c r="A62" s="49" t="str">
        <x:v>GSA003-20260802-0061</x:v>
      </x:c>
      <x:c r="B62" s="49" t="str">
        <x:v>GSA-003</x:v>
      </x:c>
      <x:c r="C62" s="49" t="str">
        <x:v>Granite Used Auto Center of Merrimack</x:v>
      </x:c>
      <x:c r="D62" s="245" t="n">
        <x:v>46236</x:v>
      </x:c>
      <x:c r="E62" s="49" t="str">
        <x:v>GSA003-20260802-001</x:v>
      </x:c>
      <x:c r="F62" s="49" t="str">
        <x:v>sanitized_public_inventory_reference</x:v>
      </x:c>
      <x:c r="G62" s="49" t="str">
        <x:v>Used</x:v>
      </x:c>
      <x:c r="H62" s="249" t="n">
        <x:v>2019</x:v>
      </x:c>
      <x:c r="I62" s="49" t="str">
        <x:v>Ford</x:v>
      </x:c>
      <x:c r="J62" s="49" t="str">
        <x:v>Escape</x:v>
      </x:c>
      <x:c r="K62" s="49" t="str">
        <x:v>SEL</x:v>
      </x:c>
      <x:c r="L62" s="49" t="str">
        <x:v>2019 Ford Escape SEL</x:v>
      </x:c>
      <x:c r="M62" s="253"/>
      <x:c r="N62" s="257"/>
      <x:c r="O62" s="49" t="str">
        <x:v>Price not exposed</x:v>
      </x:c>
      <x:c r="P62" s="49" t="str">
        <x:v>VEH-66A4A7D498C8</x:v>
      </x:c>
      <x:c r="Q62" s="49" t="str">
        <x:v>ARPI66A4A7D498C81</x:v>
      </x:c>
      <x:c r="R62" s="249" t="n">
        <x:v>1</x:v>
      </x:c>
      <x:c r="S62" s="49" t="str">
        <x:v>Sanitized public reference data</x:v>
      </x:c>
    </x:row>
    <x:row r="63" ht="20" customHeight="1">
      <x:c r="A63" s="49" t="str">
        <x:v>GSA003-20260802-0062</x:v>
      </x:c>
      <x:c r="B63" s="49" t="str">
        <x:v>GSA-003</x:v>
      </x:c>
      <x:c r="C63" s="49" t="str">
        <x:v>Granite Used Auto Center of Merrimack</x:v>
      </x:c>
      <x:c r="D63" s="245" t="n">
        <x:v>46236</x:v>
      </x:c>
      <x:c r="E63" s="49" t="str">
        <x:v>GSA003-20260802-001</x:v>
      </x:c>
      <x:c r="F63" s="49" t="str">
        <x:v>sanitized_public_inventory_reference</x:v>
      </x:c>
      <x:c r="G63" s="49" t="str">
        <x:v>Used</x:v>
      </x:c>
      <x:c r="H63" s="249" t="n">
        <x:v>2015</x:v>
      </x:c>
      <x:c r="I63" s="49" t="str">
        <x:v>Chrysler</x:v>
      </x:c>
      <x:c r="J63" s="49" t="str">
        <x:v>200</x:v>
      </x:c>
      <x:c r="K63" s="49" t="str">
        <x:v>S</x:v>
      </x:c>
      <x:c r="L63" s="49" t="str">
        <x:v>2015 Chrysler 200 S</x:v>
      </x:c>
      <x:c r="M63" s="253"/>
      <x:c r="N63" s="257"/>
      <x:c r="O63" s="49" t="str">
        <x:v>Price not exposed</x:v>
      </x:c>
      <x:c r="P63" s="49" t="str">
        <x:v>VEH-69036FCAE7F7</x:v>
      </x:c>
      <x:c r="Q63" s="49" t="str">
        <x:v>ARPI69036FCAE7F7A</x:v>
      </x:c>
      <x:c r="R63" s="249" t="n">
        <x:v>1</x:v>
      </x:c>
      <x:c r="S63" s="49" t="str">
        <x:v>Sanitized public reference data</x:v>
      </x:c>
    </x:row>
    <x:row r="64" ht="20" customHeight="1">
      <x:c r="A64" s="49" t="str">
        <x:v>GSA003-20260802-0063</x:v>
      </x:c>
      <x:c r="B64" s="49" t="str">
        <x:v>GSA-003</x:v>
      </x:c>
      <x:c r="C64" s="49" t="str">
        <x:v>Granite Used Auto Center of Merrimack</x:v>
      </x:c>
      <x:c r="D64" s="245" t="n">
        <x:v>46236</x:v>
      </x:c>
      <x:c r="E64" s="49" t="str">
        <x:v>GSA003-20260802-001</x:v>
      </x:c>
      <x:c r="F64" s="49" t="str">
        <x:v>sanitized_public_inventory_reference</x:v>
      </x:c>
      <x:c r="G64" s="49" t="str">
        <x:v>Used</x:v>
      </x:c>
      <x:c r="H64" s="249" t="n">
        <x:v>2019</x:v>
      </x:c>
      <x:c r="I64" s="49" t="str">
        <x:v>Chevrolet</x:v>
      </x:c>
      <x:c r="J64" s="49" t="str">
        <x:v>Equinox</x:v>
      </x:c>
      <x:c r="K64" s="49" t="str">
        <x:v>LT</x:v>
      </x:c>
      <x:c r="L64" s="49" t="str">
        <x:v>2019 Chevrolet Equinox LT</x:v>
      </x:c>
      <x:c r="M64" s="253"/>
      <x:c r="N64" s="257"/>
      <x:c r="O64" s="49" t="str">
        <x:v>Price not exposed</x:v>
      </x:c>
      <x:c r="P64" s="49" t="str">
        <x:v>VEH-773E095A49E8</x:v>
      </x:c>
      <x:c r="Q64" s="49" t="str">
        <x:v>ARPI773E095A49E86</x:v>
      </x:c>
      <x:c r="R64" s="249" t="n">
        <x:v>1</x:v>
      </x:c>
      <x:c r="S64" s="49" t="str">
        <x:v>Sanitized public reference data</x:v>
      </x:c>
    </x:row>
    <x:row r="65" ht="20" customHeight="1">
      <x:c r="A65" s="49" t="str">
        <x:v>GSA003-20260802-0064</x:v>
      </x:c>
      <x:c r="B65" s="49" t="str">
        <x:v>GSA-003</x:v>
      </x:c>
      <x:c r="C65" s="49" t="str">
        <x:v>Granite Used Auto Center of Merrimack</x:v>
      </x:c>
      <x:c r="D65" s="245" t="n">
        <x:v>46236</x:v>
      </x:c>
      <x:c r="E65" s="49" t="str">
        <x:v>GSA003-20260802-001</x:v>
      </x:c>
      <x:c r="F65" s="49" t="str">
        <x:v>sanitized_public_inventory_reference</x:v>
      </x:c>
      <x:c r="G65" s="49" t="str">
        <x:v>Used</x:v>
      </x:c>
      <x:c r="H65" s="249" t="n">
        <x:v>2017</x:v>
      </x:c>
      <x:c r="I65" s="49" t="str">
        <x:v>Subaru</x:v>
      </x:c>
      <x:c r="J65" s="49" t="str">
        <x:v>Crosstrek</x:v>
      </x:c>
      <x:c r="K65" s="49" t="str">
        <x:v>2.0i Limited</x:v>
      </x:c>
      <x:c r="L65" s="49" t="str">
        <x:v>2017 Subaru Crosstrek 2.0i Limited</x:v>
      </x:c>
      <x:c r="M65" s="253"/>
      <x:c r="N65" s="257"/>
      <x:c r="O65" s="49" t="str">
        <x:v>Price not exposed</x:v>
      </x:c>
      <x:c r="P65" s="49" t="str">
        <x:v>VEH-D32D1E61C74D</x:v>
      </x:c>
      <x:c r="Q65" s="49" t="str">
        <x:v>ARPID32D1E61C74DC</x:v>
      </x:c>
      <x:c r="R65" s="249" t="n">
        <x:v>1</x:v>
      </x:c>
      <x:c r="S65" s="49" t="str">
        <x:v>Sanitized public reference data</x:v>
      </x:c>
    </x:row>
    <x:row r="66" ht="20" customHeight="1">
      <x:c r="A66" s="49" t="str">
        <x:v>GSA003-20260802-0065</x:v>
      </x:c>
      <x:c r="B66" s="49" t="str">
        <x:v>GSA-003</x:v>
      </x:c>
      <x:c r="C66" s="49" t="str">
        <x:v>Granite Used Auto Center of Merrimack</x:v>
      </x:c>
      <x:c r="D66" s="245" t="n">
        <x:v>46236</x:v>
      </x:c>
      <x:c r="E66" s="49" t="str">
        <x:v>GSA003-20260802-001</x:v>
      </x:c>
      <x:c r="F66" s="49" t="str">
        <x:v>sanitized_public_inventory_reference</x:v>
      </x:c>
      <x:c r="G66" s="49" t="str">
        <x:v>Used</x:v>
      </x:c>
      <x:c r="H66" s="249" t="n">
        <x:v>2015</x:v>
      </x:c>
      <x:c r="I66" s="49" t="str">
        <x:v>Ford</x:v>
      </x:c>
      <x:c r="J66" s="49" t="str">
        <x:v>Explorer</x:v>
      </x:c>
      <x:c r="K66" s="49" t="str">
        <x:v>XLT</x:v>
      </x:c>
      <x:c r="L66" s="49" t="str">
        <x:v>2015 Ford Explorer XLT</x:v>
      </x:c>
      <x:c r="M66" s="253"/>
      <x:c r="N66" s="257"/>
      <x:c r="O66" s="49" t="str">
        <x:v>Price not exposed</x:v>
      </x:c>
      <x:c r="P66" s="49" t="str">
        <x:v>VEH-19E9CC3CE190</x:v>
      </x:c>
      <x:c r="Q66" s="49" t="str">
        <x:v>ARPI19E9CC3CE1900</x:v>
      </x:c>
      <x:c r="R66" s="249" t="n">
        <x:v>1</x:v>
      </x:c>
      <x:c r="S66" s="49" t="str">
        <x:v>Sanitized public reference data</x:v>
      </x:c>
    </x:row>
    <x:row r="67" ht="20" customHeight="1">
      <x:c r="A67" s="49" t="str">
        <x:v>GSA003-20260802-0066</x:v>
      </x:c>
      <x:c r="B67" s="49" t="str">
        <x:v>GSA-003</x:v>
      </x:c>
      <x:c r="C67" s="49" t="str">
        <x:v>Granite Used Auto Center of Merrimack</x:v>
      </x:c>
      <x:c r="D67" s="245" t="n">
        <x:v>46236</x:v>
      </x:c>
      <x:c r="E67" s="49" t="str">
        <x:v>GSA003-20260802-001</x:v>
      </x:c>
      <x:c r="F67" s="49" t="str">
        <x:v>sanitized_public_inventory_reference</x:v>
      </x:c>
      <x:c r="G67" s="49" t="str">
        <x:v>Used</x:v>
      </x:c>
      <x:c r="H67" s="249" t="n">
        <x:v>2022</x:v>
      </x:c>
      <x:c r="I67" s="49" t="str">
        <x:v>Subaru</x:v>
      </x:c>
      <x:c r="J67" s="49" t="str">
        <x:v>Crosstrek</x:v>
      </x:c>
      <x:c r="K67" s="49" t="str">
        <x:v>Premium</x:v>
      </x:c>
      <x:c r="L67" s="49" t="str">
        <x:v>2022 Subaru Crosstrek Premium</x:v>
      </x:c>
      <x:c r="M67" s="253"/>
      <x:c r="N67" s="257"/>
      <x:c r="O67" s="49" t="str">
        <x:v>Price not exposed</x:v>
      </x:c>
      <x:c r="P67" s="49" t="str">
        <x:v>VEH-7EBCCC1800C6</x:v>
      </x:c>
      <x:c r="Q67" s="49" t="str">
        <x:v>ARPI7EBCCC1800C66</x:v>
      </x:c>
      <x:c r="R67" s="249" t="n">
        <x:v>1</x:v>
      </x:c>
      <x:c r="S67" s="49" t="str">
        <x:v>Sanitized public reference data</x:v>
      </x:c>
    </x:row>
    <x:row r="68" ht="20" customHeight="1">
      <x:c r="A68" s="49" t="str">
        <x:v>GSA003-20260802-0067</x:v>
      </x:c>
      <x:c r="B68" s="49" t="str">
        <x:v>GSA-003</x:v>
      </x:c>
      <x:c r="C68" s="49" t="str">
        <x:v>Granite Used Auto Center of Merrimack</x:v>
      </x:c>
      <x:c r="D68" s="245" t="n">
        <x:v>46236</x:v>
      </x:c>
      <x:c r="E68" s="49" t="str">
        <x:v>GSA003-20260802-001</x:v>
      </x:c>
      <x:c r="F68" s="49" t="str">
        <x:v>sanitized_public_inventory_reference</x:v>
      </x:c>
      <x:c r="G68" s="49" t="str">
        <x:v>Used</x:v>
      </x:c>
      <x:c r="H68" s="249" t="n">
        <x:v>2024</x:v>
      </x:c>
      <x:c r="I68" s="49" t="str">
        <x:v>Ford</x:v>
      </x:c>
      <x:c r="J68" s="49" t="str">
        <x:v>Escape</x:v>
      </x:c>
      <x:c r="K68" s="49" t="str">
        <x:v>Active</x:v>
      </x:c>
      <x:c r="L68" s="49" t="str">
        <x:v>2024 Ford Escape Active</x:v>
      </x:c>
      <x:c r="M68" s="253"/>
      <x:c r="N68" s="257"/>
      <x:c r="O68" s="49" t="str">
        <x:v>Price not exposed</x:v>
      </x:c>
      <x:c r="P68" s="49" t="str">
        <x:v>VEH-80512601B549</x:v>
      </x:c>
      <x:c r="Q68" s="49" t="str">
        <x:v>ARPI80512601B549D</x:v>
      </x:c>
      <x:c r="R68" s="249" t="n">
        <x:v>1</x:v>
      </x:c>
      <x:c r="S68" s="49" t="str">
        <x:v>Sanitized public reference data</x:v>
      </x:c>
    </x:row>
    <x:row r="69" ht="20" customHeight="1">
      <x:c r="A69" s="49" t="str">
        <x:v>GSA003-20260802-0068</x:v>
      </x:c>
      <x:c r="B69" s="49" t="str">
        <x:v>GSA-003</x:v>
      </x:c>
      <x:c r="C69" s="49" t="str">
        <x:v>Granite Used Auto Center of Merrimack</x:v>
      </x:c>
      <x:c r="D69" s="245" t="n">
        <x:v>46236</x:v>
      </x:c>
      <x:c r="E69" s="49" t="str">
        <x:v>GSA003-20260802-001</x:v>
      </x:c>
      <x:c r="F69" s="49" t="str">
        <x:v>sanitized_public_inventory_reference</x:v>
      </x:c>
      <x:c r="G69" s="49" t="str">
        <x:v>Used</x:v>
      </x:c>
      <x:c r="H69" s="249" t="n">
        <x:v>2020</x:v>
      </x:c>
      <x:c r="I69" s="49" t="str">
        <x:v>Subaru</x:v>
      </x:c>
      <x:c r="J69" s="49" t="str">
        <x:v>Forester</x:v>
      </x:c>
      <x:c r="K69" s="49" t="str">
        <x:v>Premium</x:v>
      </x:c>
      <x:c r="L69" s="49" t="str">
        <x:v>2020 Subaru Forester Premium</x:v>
      </x:c>
      <x:c r="M69" s="253"/>
      <x:c r="N69" s="257"/>
      <x:c r="O69" s="49" t="str">
        <x:v>Price not exposed</x:v>
      </x:c>
      <x:c r="P69" s="49" t="str">
        <x:v>VEH-36D8DA4D9347</x:v>
      </x:c>
      <x:c r="Q69" s="49" t="str">
        <x:v>ARPI36D8DA4D93479</x:v>
      </x:c>
      <x:c r="R69" s="249" t="n">
        <x:v>1</x:v>
      </x:c>
      <x:c r="S69" s="49" t="str">
        <x:v>Sanitized public reference data</x:v>
      </x:c>
    </x:row>
    <x:row r="70" ht="20" customHeight="1">
      <x:c r="A70" s="49" t="str">
        <x:v>GSA003-20260802-0069</x:v>
      </x:c>
      <x:c r="B70" s="49" t="str">
        <x:v>GSA-003</x:v>
      </x:c>
      <x:c r="C70" s="49" t="str">
        <x:v>Granite Used Auto Center of Merrimack</x:v>
      </x:c>
      <x:c r="D70" s="245" t="n">
        <x:v>46236</x:v>
      </x:c>
      <x:c r="E70" s="49" t="str">
        <x:v>GSA003-20260802-001</x:v>
      </x:c>
      <x:c r="F70" s="49" t="str">
        <x:v>sanitized_public_inventory_reference</x:v>
      </x:c>
      <x:c r="G70" s="49" t="str">
        <x:v>Used</x:v>
      </x:c>
      <x:c r="H70" s="249" t="n">
        <x:v>2014</x:v>
      </x:c>
      <x:c r="I70" s="49" t="str">
        <x:v>Jeep</x:v>
      </x:c>
      <x:c r="J70" s="49" t="str">
        <x:v>Grand Cherokee</x:v>
      </x:c>
      <x:c r="K70" s="49" t="str">
        <x:v>Limited</x:v>
      </x:c>
      <x:c r="L70" s="49" t="str">
        <x:v>2014 Jeep Grand Cherokee Limited</x:v>
      </x:c>
      <x:c r="M70" s="253" t="n">
        <x:v>111200</x:v>
      </x:c>
      <x:c r="N70" s="257" t="n">
        <x:v>12295</x:v>
      </x:c>
      <x:c r="O70" s="49" t="str">
        <x:v>Listed</x:v>
      </x:c>
      <x:c r="P70" s="49" t="str">
        <x:v>VEH-27BF2DFD8640</x:v>
      </x:c>
      <x:c r="Q70" s="49" t="str">
        <x:v>ARPI27BF2DFD86407</x:v>
      </x:c>
      <x:c r="R70" s="249" t="n">
        <x:v>1</x:v>
      </x:c>
      <x:c r="S70" s="49" t="str">
        <x:v>Sanitized public reference data</x:v>
      </x:c>
    </x:row>
    <x:row r="71" ht="20" customHeight="1">
      <x:c r="A71" s="49" t="str">
        <x:v>GSA003-20260802-0070</x:v>
      </x:c>
      <x:c r="B71" s="49" t="str">
        <x:v>GSA-003</x:v>
      </x:c>
      <x:c r="C71" s="49" t="str">
        <x:v>Granite Used Auto Center of Merrimack</x:v>
      </x:c>
      <x:c r="D71" s="245" t="n">
        <x:v>46236</x:v>
      </x:c>
      <x:c r="E71" s="49" t="str">
        <x:v>GSA003-20260802-001</x:v>
      </x:c>
      <x:c r="F71" s="49" t="str">
        <x:v>sanitized_public_inventory_reference</x:v>
      </x:c>
      <x:c r="G71" s="49" t="str">
        <x:v>Used</x:v>
      </x:c>
      <x:c r="H71" s="249" t="n">
        <x:v>2021</x:v>
      </x:c>
      <x:c r="I71" s="49" t="str">
        <x:v>Subaru</x:v>
      </x:c>
      <x:c r="J71" s="49" t="str">
        <x:v>Forester</x:v>
      </x:c>
      <x:c r="K71" s="49" t="str">
        <x:v>Limited</x:v>
      </x:c>
      <x:c r="L71" s="49" t="str">
        <x:v>2021 Subaru Forester Limited</x:v>
      </x:c>
      <x:c r="M71" s="253" t="n">
        <x:v>117516</x:v>
      </x:c>
      <x:c r="N71" s="257" t="n">
        <x:v>17395</x:v>
      </x:c>
      <x:c r="O71" s="49" t="str">
        <x:v>Listed</x:v>
      </x:c>
      <x:c r="P71" s="49" t="str">
        <x:v>VEH-856CB2F5AB29</x:v>
      </x:c>
      <x:c r="Q71" s="49" t="str">
        <x:v>ARPI856CB2F5AB290</x:v>
      </x:c>
      <x:c r="R71" s="249" t="n">
        <x:v>1</x:v>
      </x:c>
      <x:c r="S71" s="49" t="str">
        <x:v>Sanitized public reference data</x:v>
      </x:c>
    </x:row>
    <x:row r="72" ht="20" customHeight="1">
      <x:c r="A72" s="49" t="str">
        <x:v>GSA003-20260802-0071</x:v>
      </x:c>
      <x:c r="B72" s="49" t="str">
        <x:v>GSA-003</x:v>
      </x:c>
      <x:c r="C72" s="49" t="str">
        <x:v>Granite Used Auto Center of Merrimack</x:v>
      </x:c>
      <x:c r="D72" s="245" t="n">
        <x:v>46236</x:v>
      </x:c>
      <x:c r="E72" s="49" t="str">
        <x:v>GSA003-20260802-001</x:v>
      </x:c>
      <x:c r="F72" s="49" t="str">
        <x:v>sanitized_public_inventory_reference</x:v>
      </x:c>
      <x:c r="G72" s="49" t="str">
        <x:v>Used</x:v>
      </x:c>
      <x:c r="H72" s="249" t="n">
        <x:v>2016</x:v>
      </x:c>
      <x:c r="I72" s="49" t="str">
        <x:v>GMC</x:v>
      </x:c>
      <x:c r="J72" s="49" t="str">
        <x:v>Acadia</x:v>
      </x:c>
      <x:c r="K72" s="49" t="str">
        <x:v>SLE-1</x:v>
      </x:c>
      <x:c r="L72" s="49" t="str">
        <x:v>2016 GMC Acadia SLE-1</x:v>
      </x:c>
      <x:c r="M72" s="253"/>
      <x:c r="N72" s="257"/>
      <x:c r="O72" s="49" t="str">
        <x:v>Price not exposed</x:v>
      </x:c>
      <x:c r="P72" s="49" t="str">
        <x:v>VEH-653FE301A887</x:v>
      </x:c>
      <x:c r="Q72" s="49" t="str">
        <x:v>ARPI653FE301A887C</x:v>
      </x:c>
      <x:c r="R72" s="249" t="n">
        <x:v>1</x:v>
      </x:c>
      <x:c r="S72" s="49" t="str">
        <x:v>Sanitized public reference data</x:v>
      </x:c>
    </x:row>
    <x:row r="73" ht="20" customHeight="1">
      <x:c r="A73" s="49" t="str">
        <x:v>GSA003-20260802-0072</x:v>
      </x:c>
      <x:c r="B73" s="49" t="str">
        <x:v>GSA-003</x:v>
      </x:c>
      <x:c r="C73" s="49" t="str">
        <x:v>Granite Used Auto Center of Merrimack</x:v>
      </x:c>
      <x:c r="D73" s="245" t="n">
        <x:v>46236</x:v>
      </x:c>
      <x:c r="E73" s="49" t="str">
        <x:v>GSA003-20260802-001</x:v>
      </x:c>
      <x:c r="F73" s="49" t="str">
        <x:v>sanitized_public_inventory_reference</x:v>
      </x:c>
      <x:c r="G73" s="49" t="str">
        <x:v>Used</x:v>
      </x:c>
      <x:c r="H73" s="249" t="n">
        <x:v>2020</x:v>
      </x:c>
      <x:c r="I73" s="49" t="str">
        <x:v>Buick</x:v>
      </x:c>
      <x:c r="J73" s="49" t="str">
        <x:v>Encore</x:v>
      </x:c>
      <x:c r="K73" s="49" t="str">
        <x:v>Preferred</x:v>
      </x:c>
      <x:c r="L73" s="49" t="str">
        <x:v>2020 Buick Encore Preferred</x:v>
      </x:c>
      <x:c r="M73" s="253"/>
      <x:c r="N73" s="257"/>
      <x:c r="O73" s="49" t="str">
        <x:v>Price not exposed</x:v>
      </x:c>
      <x:c r="P73" s="49" t="str">
        <x:v>VEH-976793D591D7</x:v>
      </x:c>
      <x:c r="Q73" s="49" t="str">
        <x:v>ARPI976793D591D7C</x:v>
      </x:c>
      <x:c r="R73" s="249" t="n">
        <x:v>1</x:v>
      </x:c>
      <x:c r="S73" s="49" t="str">
        <x:v>Sanitized public reference data</x:v>
      </x:c>
    </x:row>
    <x:row r="74" ht="20" customHeight="1">
      <x:c r="A74" s="49" t="str">
        <x:v>GSA003-20260802-0073</x:v>
      </x:c>
      <x:c r="B74" s="49" t="str">
        <x:v>GSA-003</x:v>
      </x:c>
      <x:c r="C74" s="49" t="str">
        <x:v>Granite Used Auto Center of Merrimack</x:v>
      </x:c>
      <x:c r="D74" s="245" t="n">
        <x:v>46236</x:v>
      </x:c>
      <x:c r="E74" s="49" t="str">
        <x:v>GSA003-20260802-001</x:v>
      </x:c>
      <x:c r="F74" s="49" t="str">
        <x:v>sanitized_public_inventory_reference</x:v>
      </x:c>
      <x:c r="G74" s="49" t="str">
        <x:v>Used</x:v>
      </x:c>
      <x:c r="H74" s="249" t="n">
        <x:v>2019</x:v>
      </x:c>
      <x:c r="I74" s="49" t="str">
        <x:v>Subaru</x:v>
      </x:c>
      <x:c r="J74" s="49" t="str">
        <x:v>Crosstrek</x:v>
      </x:c>
      <x:c r="K74" s="49" t="str">
        <x:v>2.0i Premium</x:v>
      </x:c>
      <x:c r="L74" s="49" t="str">
        <x:v>2019 Subaru Crosstrek 2.0i Premium</x:v>
      </x:c>
      <x:c r="M74" s="253"/>
      <x:c r="N74" s="257"/>
      <x:c r="O74" s="49" t="str">
        <x:v>Price not exposed</x:v>
      </x:c>
      <x:c r="P74" s="49" t="str">
        <x:v>VEH-EDBB0E539601</x:v>
      </x:c>
      <x:c r="Q74" s="49" t="str">
        <x:v>ARPIEDBB0E5396016</x:v>
      </x:c>
      <x:c r="R74" s="249" t="n">
        <x:v>1</x:v>
      </x:c>
      <x:c r="S74" s="49" t="str">
        <x:v>Sanitized public reference data</x:v>
      </x:c>
    </x:row>
    <x:row r="75" ht="20" customHeight="1">
      <x:c r="A75" s="49" t="str">
        <x:v>GSA003-20260802-0074</x:v>
      </x:c>
      <x:c r="B75" s="49" t="str">
        <x:v>GSA-003</x:v>
      </x:c>
      <x:c r="C75" s="49" t="str">
        <x:v>Granite Used Auto Center of Merrimack</x:v>
      </x:c>
      <x:c r="D75" s="245" t="n">
        <x:v>46236</x:v>
      </x:c>
      <x:c r="E75" s="49" t="str">
        <x:v>GSA003-20260802-001</x:v>
      </x:c>
      <x:c r="F75" s="49" t="str">
        <x:v>sanitized_public_inventory_reference</x:v>
      </x:c>
      <x:c r="G75" s="49" t="str">
        <x:v>Used</x:v>
      </x:c>
      <x:c r="H75" s="249" t="n">
        <x:v>2020</x:v>
      </x:c>
      <x:c r="I75" s="49" t="str">
        <x:v>BMW</x:v>
      </x:c>
      <x:c r="J75" s="49" t="str">
        <x:v>X5</x:v>
      </x:c>
      <x:c r="K75" s="49" t="str">
        <x:v>xDrive40i</x:v>
      </x:c>
      <x:c r="L75" s="49" t="str">
        <x:v>2020 BMW X5 xDrive40i</x:v>
      </x:c>
      <x:c r="M75" s="253"/>
      <x:c r="N75" s="257"/>
      <x:c r="O75" s="49" t="str">
        <x:v>Price not exposed</x:v>
      </x:c>
      <x:c r="P75" s="49" t="str">
        <x:v>VEH-2F98A15FAB17</x:v>
      </x:c>
      <x:c r="Q75" s="49" t="str">
        <x:v>ARPI2F98A15FAB171</x:v>
      </x:c>
      <x:c r="R75" s="249" t="n">
        <x:v>1</x:v>
      </x:c>
      <x:c r="S75" s="49" t="str">
        <x:v>Sanitized public reference data</x:v>
      </x:c>
    </x:row>
    <x:row r="76" ht="20" customHeight="1">
      <x:c r="A76" s="49" t="str">
        <x:v>GSA003-20260802-0075</x:v>
      </x:c>
      <x:c r="B76" s="49" t="str">
        <x:v>GSA-003</x:v>
      </x:c>
      <x:c r="C76" s="49" t="str">
        <x:v>Granite Used Auto Center of Merrimack</x:v>
      </x:c>
      <x:c r="D76" s="245" t="n">
        <x:v>46236</x:v>
      </x:c>
      <x:c r="E76" s="49" t="str">
        <x:v>GSA003-20260802-001</x:v>
      </x:c>
      <x:c r="F76" s="49" t="str">
        <x:v>sanitized_public_inventory_reference</x:v>
      </x:c>
      <x:c r="G76" s="49" t="str">
        <x:v>Used</x:v>
      </x:c>
      <x:c r="H76" s="249" t="n">
        <x:v>2014</x:v>
      </x:c>
      <x:c r="I76" s="49" t="str">
        <x:v>Chevrolet</x:v>
      </x:c>
      <x:c r="J76" s="49" t="str">
        <x:v>Silverado 1500</x:v>
      </x:c>
      <x:c r="K76" s="49" t="str">
        <x:v>LT</x:v>
      </x:c>
      <x:c r="L76" s="49" t="str">
        <x:v>2014 Chevrolet Silverado 1500 LT</x:v>
      </x:c>
      <x:c r="M76" s="253"/>
      <x:c r="N76" s="257"/>
      <x:c r="O76" s="49" t="str">
        <x:v>Price not exposed</x:v>
      </x:c>
      <x:c r="P76" s="49" t="str">
        <x:v>VEH-DB45DE4294AF</x:v>
      </x:c>
      <x:c r="Q76" s="49" t="str">
        <x:v>ARPIDB45DE4294AF3</x:v>
      </x:c>
      <x:c r="R76" s="249" t="n">
        <x:v>1</x:v>
      </x:c>
      <x:c r="S76" s="49" t="str">
        <x:v>Sanitized public reference data</x:v>
      </x:c>
    </x:row>
    <x:row r="77" ht="20" customHeight="1">
      <x:c r="A77" s="49" t="str">
        <x:v>GSA003-20260802-0076</x:v>
      </x:c>
      <x:c r="B77" s="49" t="str">
        <x:v>GSA-003</x:v>
      </x:c>
      <x:c r="C77" s="49" t="str">
        <x:v>Granite Used Auto Center of Merrimack</x:v>
      </x:c>
      <x:c r="D77" s="245" t="n">
        <x:v>46236</x:v>
      </x:c>
      <x:c r="E77" s="49" t="str">
        <x:v>GSA003-20260802-001</x:v>
      </x:c>
      <x:c r="F77" s="49" t="str">
        <x:v>sanitized_public_inventory_reference</x:v>
      </x:c>
      <x:c r="G77" s="49" t="str">
        <x:v>Used</x:v>
      </x:c>
      <x:c r="H77" s="249" t="n">
        <x:v>2021</x:v>
      </x:c>
      <x:c r="I77" s="49" t="str">
        <x:v>Honda</x:v>
      </x:c>
      <x:c r="J77" s="49" t="str">
        <x:v>HR-V</x:v>
      </x:c>
      <x:c r="K77" s="49" t="str">
        <x:v>LX</x:v>
      </x:c>
      <x:c r="L77" s="49" t="str">
        <x:v>2021 Honda HR-V LX</x:v>
      </x:c>
      <x:c r="M77" s="253"/>
      <x:c r="N77" s="257"/>
      <x:c r="O77" s="49" t="str">
        <x:v>Price not exposed</x:v>
      </x:c>
      <x:c r="P77" s="49" t="str">
        <x:v>VEH-5BDF7E200AFC</x:v>
      </x:c>
      <x:c r="Q77" s="49" t="str">
        <x:v>ARPI5BDF7E200AFCE</x:v>
      </x:c>
      <x:c r="R77" s="249" t="n">
        <x:v>1</x:v>
      </x:c>
      <x:c r="S77" s="49" t="str">
        <x:v>Sanitized public reference data</x:v>
      </x:c>
    </x:row>
    <x:row r="78" ht="20" customHeight="1">
      <x:c r="A78" s="49" t="str">
        <x:v>GSA003-20260802-0077</x:v>
      </x:c>
      <x:c r="B78" s="49" t="str">
        <x:v>GSA-003</x:v>
      </x:c>
      <x:c r="C78" s="49" t="str">
        <x:v>Granite Used Auto Center of Merrimack</x:v>
      </x:c>
      <x:c r="D78" s="245" t="n">
        <x:v>46236</x:v>
      </x:c>
      <x:c r="E78" s="49" t="str">
        <x:v>GSA003-20260802-001</x:v>
      </x:c>
      <x:c r="F78" s="49" t="str">
        <x:v>sanitized_public_inventory_reference</x:v>
      </x:c>
      <x:c r="G78" s="49" t="str">
        <x:v>Used</x:v>
      </x:c>
      <x:c r="H78" s="249" t="n">
        <x:v>2022</x:v>
      </x:c>
      <x:c r="I78" s="49" t="str">
        <x:v>Chevrolet</x:v>
      </x:c>
      <x:c r="J78" s="49" t="str">
        <x:v>Equinox</x:v>
      </x:c>
      <x:c r="K78" s="49" t="str">
        <x:v>LT</x:v>
      </x:c>
      <x:c r="L78" s="49" t="str">
        <x:v>2022 Chevrolet Equinox LT</x:v>
      </x:c>
      <x:c r="M78" s="253"/>
      <x:c r="N78" s="257"/>
      <x:c r="O78" s="49" t="str">
        <x:v>Price not exposed</x:v>
      </x:c>
      <x:c r="P78" s="49" t="str">
        <x:v>VEH-1F48E731CE4A</x:v>
      </x:c>
      <x:c r="Q78" s="49" t="str">
        <x:v>ARPI1F48E731CE4A9</x:v>
      </x:c>
      <x:c r="R78" s="249" t="n">
        <x:v>1</x:v>
      </x:c>
      <x:c r="S78" s="49" t="str">
        <x:v>Sanitized public reference data</x:v>
      </x:c>
    </x:row>
    <x:row r="79" ht="20" customHeight="1">
      <x:c r="A79" s="49" t="str">
        <x:v>GSA003-20260802-0078</x:v>
      </x:c>
      <x:c r="B79" s="49" t="str">
        <x:v>GSA-003</x:v>
      </x:c>
      <x:c r="C79" s="49" t="str">
        <x:v>Granite Used Auto Center of Merrimack</x:v>
      </x:c>
      <x:c r="D79" s="245" t="n">
        <x:v>46236</x:v>
      </x:c>
      <x:c r="E79" s="49" t="str">
        <x:v>GSA003-20260802-001</x:v>
      </x:c>
      <x:c r="F79" s="49" t="str">
        <x:v>sanitized_public_inventory_reference</x:v>
      </x:c>
      <x:c r="G79" s="49" t="str">
        <x:v>Used</x:v>
      </x:c>
      <x:c r="H79" s="249" t="n">
        <x:v>2021</x:v>
      </x:c>
      <x:c r="I79" s="49" t="str">
        <x:v>Subaru</x:v>
      </x:c>
      <x:c r="J79" s="49" t="str">
        <x:v>Crosstrek</x:v>
      </x:c>
      <x:c r="K79" s="49" t="str">
        <x:v>Sport</x:v>
      </x:c>
      <x:c r="L79" s="49" t="str">
        <x:v>2021 Subaru Crosstrek Sport</x:v>
      </x:c>
      <x:c r="M79" s="253"/>
      <x:c r="N79" s="257"/>
      <x:c r="O79" s="49" t="str">
        <x:v>Price not exposed</x:v>
      </x:c>
      <x:c r="P79" s="49" t="str">
        <x:v>VEH-02995A8E4141</x:v>
      </x:c>
      <x:c r="Q79" s="49" t="str">
        <x:v>ARPI02995A8E41412</x:v>
      </x:c>
      <x:c r="R79" s="249" t="n">
        <x:v>1</x:v>
      </x:c>
      <x:c r="S79" s="49" t="str">
        <x:v>Sanitized public reference data</x:v>
      </x:c>
    </x:row>
    <x:row r="80" ht="20" customHeight="1">
      <x:c r="A80" s="49" t="str">
        <x:v>GSA003-20260802-0079</x:v>
      </x:c>
      <x:c r="B80" s="49" t="str">
        <x:v>GSA-003</x:v>
      </x:c>
      <x:c r="C80" s="49" t="str">
        <x:v>Granite Used Auto Center of Merrimack</x:v>
      </x:c>
      <x:c r="D80" s="245" t="n">
        <x:v>46236</x:v>
      </x:c>
      <x:c r="E80" s="49" t="str">
        <x:v>GSA003-20260802-001</x:v>
      </x:c>
      <x:c r="F80" s="49" t="str">
        <x:v>sanitized_public_inventory_reference</x:v>
      </x:c>
      <x:c r="G80" s="49" t="str">
        <x:v>Used</x:v>
      </x:c>
      <x:c r="H80" s="249" t="n">
        <x:v>2012</x:v>
      </x:c>
      <x:c r="I80" s="49" t="str">
        <x:v>Toyota</x:v>
      </x:c>
      <x:c r="J80" s="49" t="str">
        <x:v>Tacoma</x:v>
      </x:c>
      <x:c r="K80" s="49" t="str">
        <x:v>Base</x:v>
      </x:c>
      <x:c r="L80" s="49" t="str">
        <x:v>2012 Toyota Tacoma Base</x:v>
      </x:c>
      <x:c r="M80" s="253"/>
      <x:c r="N80" s="257"/>
      <x:c r="O80" s="49" t="str">
        <x:v>Price not exposed</x:v>
      </x:c>
      <x:c r="P80" s="49" t="str">
        <x:v>VEH-2D7817966C90</x:v>
      </x:c>
      <x:c r="Q80" s="49" t="str">
        <x:v>ARPI2D7817966C900</x:v>
      </x:c>
      <x:c r="R80" s="249" t="n">
        <x:v>1</x:v>
      </x:c>
      <x:c r="S80" s="49" t="str">
        <x:v>Sanitized public reference data</x:v>
      </x:c>
    </x:row>
    <x:row r="81" ht="20" customHeight="1">
      <x:c r="A81" s="49" t="str">
        <x:v>GSA003-20260802-0080</x:v>
      </x:c>
      <x:c r="B81" s="49" t="str">
        <x:v>GSA-003</x:v>
      </x:c>
      <x:c r="C81" s="49" t="str">
        <x:v>Granite Used Auto Center of Merrimack</x:v>
      </x:c>
      <x:c r="D81" s="245" t="n">
        <x:v>46236</x:v>
      </x:c>
      <x:c r="E81" s="49" t="str">
        <x:v>GSA003-20260802-001</x:v>
      </x:c>
      <x:c r="F81" s="49" t="str">
        <x:v>sanitized_public_inventory_reference</x:v>
      </x:c>
      <x:c r="G81" s="49" t="str">
        <x:v>Used</x:v>
      </x:c>
      <x:c r="H81" s="249" t="n">
        <x:v>2018</x:v>
      </x:c>
      <x:c r="I81" s="49" t="str">
        <x:v>Volkswagen</x:v>
      </x:c>
      <x:c r="J81" s="49" t="str">
        <x:v>Golf SportWagen</x:v>
      </x:c>
      <x:c r="K81" s="49" t="str">
        <x:v>SE</x:v>
      </x:c>
      <x:c r="L81" s="49" t="str">
        <x:v>2018 Volkswagen Golf SportWagen SE</x:v>
      </x:c>
      <x:c r="M81" s="253"/>
      <x:c r="N81" s="257"/>
      <x:c r="O81" s="49" t="str">
        <x:v>Price not exposed</x:v>
      </x:c>
      <x:c r="P81" s="49" t="str">
        <x:v>VEH-2BEF2276D9B7</x:v>
      </x:c>
      <x:c r="Q81" s="49" t="str">
        <x:v>ARPI2BEF2276D9B7D</x:v>
      </x:c>
      <x:c r="R81" s="249" t="n">
        <x:v>1</x:v>
      </x:c>
      <x:c r="S81" s="49" t="str">
        <x:v>Sanitized public reference data</x:v>
      </x:c>
    </x:row>
    <x:row r="82" ht="20" customHeight="1">
      <x:c r="A82" s="49" t="str">
        <x:v>GSA003-20260802-0081</x:v>
      </x:c>
      <x:c r="B82" s="49" t="str">
        <x:v>GSA-003</x:v>
      </x:c>
      <x:c r="C82" s="49" t="str">
        <x:v>Granite Used Auto Center of Merrimack</x:v>
      </x:c>
      <x:c r="D82" s="245" t="n">
        <x:v>46236</x:v>
      </x:c>
      <x:c r="E82" s="49" t="str">
        <x:v>GSA003-20260802-001</x:v>
      </x:c>
      <x:c r="F82" s="49" t="str">
        <x:v>sanitized_public_inventory_reference</x:v>
      </x:c>
      <x:c r="G82" s="49" t="str">
        <x:v>Used</x:v>
      </x:c>
      <x:c r="H82" s="249" t="n">
        <x:v>2015</x:v>
      </x:c>
      <x:c r="I82" s="49" t="str">
        <x:v>Kia</x:v>
      </x:c>
      <x:c r="J82" s="49" t="str">
        <x:v>Optima</x:v>
      </x:c>
      <x:c r="K82" s="49" t="str">
        <x:v>LX</x:v>
      </x:c>
      <x:c r="L82" s="49" t="str">
        <x:v>2015 Kia Optima LX</x:v>
      </x:c>
      <x:c r="M82" s="253"/>
      <x:c r="N82" s="257"/>
      <x:c r="O82" s="49" t="str">
        <x:v>Price not exposed</x:v>
      </x:c>
      <x:c r="P82" s="49" t="str">
        <x:v>VEH-F08F8BE05F81</x:v>
      </x:c>
      <x:c r="Q82" s="49" t="str">
        <x:v>ARPIF08F8BE05F81A</x:v>
      </x:c>
      <x:c r="R82" s="249" t="n">
        <x:v>1</x:v>
      </x:c>
      <x:c r="S82" s="49" t="str">
        <x:v>Sanitized public reference data</x:v>
      </x:c>
    </x:row>
    <x:row r="83" ht="20" customHeight="1">
      <x:c r="A83" s="49" t="str">
        <x:v>GSA003-20260802-0082</x:v>
      </x:c>
      <x:c r="B83" s="49" t="str">
        <x:v>GSA-003</x:v>
      </x:c>
      <x:c r="C83" s="49" t="str">
        <x:v>Granite Used Auto Center of Merrimack</x:v>
      </x:c>
      <x:c r="D83" s="245" t="n">
        <x:v>46236</x:v>
      </x:c>
      <x:c r="E83" s="49" t="str">
        <x:v>GSA003-20260802-001</x:v>
      </x:c>
      <x:c r="F83" s="49" t="str">
        <x:v>sanitized_public_inventory_reference</x:v>
      </x:c>
      <x:c r="G83" s="49" t="str">
        <x:v>Used</x:v>
      </x:c>
      <x:c r="H83" s="249" t="n">
        <x:v>2016</x:v>
      </x:c>
      <x:c r="I83" s="49" t="str">
        <x:v>Ford</x:v>
      </x:c>
      <x:c r="J83" s="49" t="str">
        <x:v>F-150</x:v>
      </x:c>
      <x:c r="K83" s="49" t="str">
        <x:v>XLT</x:v>
      </x:c>
      <x:c r="L83" s="49" t="str">
        <x:v>2016 Ford F-150 XLT</x:v>
      </x:c>
      <x:c r="M83" s="253" t="n">
        <x:v>154300</x:v>
      </x:c>
      <x:c r="N83" s="257" t="n">
        <x:v>13395</x:v>
      </x:c>
      <x:c r="O83" s="49" t="str">
        <x:v>Listed</x:v>
      </x:c>
      <x:c r="P83" s="49" t="str">
        <x:v>VEH-5A22C0AA3F40</x:v>
      </x:c>
      <x:c r="Q83" s="49" t="str">
        <x:v>ARPI5A22C0AA3F408</x:v>
      </x:c>
      <x:c r="R83" s="249" t="n">
        <x:v>1</x:v>
      </x:c>
      <x:c r="S83" s="49" t="str">
        <x:v>Sanitized public reference data</x:v>
      </x:c>
    </x:row>
    <x:row r="84" ht="20" customHeight="1">
      <x:c r="A84" s="49" t="str">
        <x:v>GSA003-20260802-0083</x:v>
      </x:c>
      <x:c r="B84" s="49" t="str">
        <x:v>GSA-003</x:v>
      </x:c>
      <x:c r="C84" s="49" t="str">
        <x:v>Granite Used Auto Center of Merrimack</x:v>
      </x:c>
      <x:c r="D84" s="245" t="n">
        <x:v>46236</x:v>
      </x:c>
      <x:c r="E84" s="49" t="str">
        <x:v>GSA003-20260802-001</x:v>
      </x:c>
      <x:c r="F84" s="49" t="str">
        <x:v>sanitized_public_inventory_reference</x:v>
      </x:c>
      <x:c r="G84" s="49" t="str">
        <x:v>Used</x:v>
      </x:c>
      <x:c r="H84" s="249" t="n">
        <x:v>2018</x:v>
      </x:c>
      <x:c r="I84" s="49" t="str">
        <x:v>Nissan</x:v>
      </x:c>
      <x:c r="J84" s="49" t="str">
        <x:v>Sentra</x:v>
      </x:c>
      <x:c r="K84" s="49" t="str">
        <x:v>SV</x:v>
      </x:c>
      <x:c r="L84" s="49" t="str">
        <x:v>2018 Nissan Sentra SV</x:v>
      </x:c>
      <x:c r="M84" s="253"/>
      <x:c r="N84" s="257"/>
      <x:c r="O84" s="49" t="str">
        <x:v>Price not exposed</x:v>
      </x:c>
      <x:c r="P84" s="49" t="str">
        <x:v>VEH-A03EE481C09A</x:v>
      </x:c>
      <x:c r="Q84" s="49" t="str">
        <x:v>ARPIA03EE481C09AD</x:v>
      </x:c>
      <x:c r="R84" s="249" t="n">
        <x:v>1</x:v>
      </x:c>
      <x:c r="S84" s="49" t="str">
        <x:v>Sanitized public reference data</x:v>
      </x:c>
    </x:row>
    <x:row r="85" ht="20" customHeight="1">
      <x:c r="A85" s="49" t="str">
        <x:v>GSA003-20260802-0084</x:v>
      </x:c>
      <x:c r="B85" s="49" t="str">
        <x:v>GSA-003</x:v>
      </x:c>
      <x:c r="C85" s="49" t="str">
        <x:v>Granite Used Auto Center of Merrimack</x:v>
      </x:c>
      <x:c r="D85" s="245" t="n">
        <x:v>46236</x:v>
      </x:c>
      <x:c r="E85" s="49" t="str">
        <x:v>GSA003-20260802-001</x:v>
      </x:c>
      <x:c r="F85" s="49" t="str">
        <x:v>sanitized_public_inventory_reference</x:v>
      </x:c>
      <x:c r="G85" s="49" t="str">
        <x:v>Used</x:v>
      </x:c>
      <x:c r="H85" s="249" t="n">
        <x:v>2013</x:v>
      </x:c>
      <x:c r="I85" s="49" t="str">
        <x:v>Jeep</x:v>
      </x:c>
      <x:c r="J85" s="49" t="str">
        <x:v>Wrangler Unlimited</x:v>
      </x:c>
      <x:c r="K85" s="49" t="str">
        <x:v>Sport</x:v>
      </x:c>
      <x:c r="L85" s="49" t="str">
        <x:v>2013 Jeep Wrangler Unlimited Sport</x:v>
      </x:c>
      <x:c r="M85" s="253"/>
      <x:c r="N85" s="257"/>
      <x:c r="O85" s="49" t="str">
        <x:v>Price not exposed</x:v>
      </x:c>
      <x:c r="P85" s="49" t="str">
        <x:v>VEH-D2193913226E</x:v>
      </x:c>
      <x:c r="Q85" s="49" t="str">
        <x:v>ARPID2193913226E5</x:v>
      </x:c>
      <x:c r="R85" s="249" t="n">
        <x:v>1</x:v>
      </x:c>
      <x:c r="S85" s="49" t="str">
        <x:v>Sanitized public reference data</x:v>
      </x:c>
    </x:row>
    <x:row r="86" ht="20" customHeight="1">
      <x:c r="A86" s="49" t="str">
        <x:v>GSA003-20260802-0085</x:v>
      </x:c>
      <x:c r="B86" s="49" t="str">
        <x:v>GSA-003</x:v>
      </x:c>
      <x:c r="C86" s="49" t="str">
        <x:v>Granite Used Auto Center of Merrimack</x:v>
      </x:c>
      <x:c r="D86" s="245" t="n">
        <x:v>46236</x:v>
      </x:c>
      <x:c r="E86" s="49" t="str">
        <x:v>GSA003-20260802-001</x:v>
      </x:c>
      <x:c r="F86" s="49" t="str">
        <x:v>sanitized_public_inventory_reference</x:v>
      </x:c>
      <x:c r="G86" s="49" t="str">
        <x:v>Used</x:v>
      </x:c>
      <x:c r="H86" s="249" t="n">
        <x:v>2014</x:v>
      </x:c>
      <x:c r="I86" s="49" t="str">
        <x:v>Audi</x:v>
      </x:c>
      <x:c r="J86" s="49" t="str">
        <x:v>allroad</x:v>
      </x:c>
      <x:c r="K86" s="49" t="str">
        <x:v>2.0T Premium Plus</x:v>
      </x:c>
      <x:c r="L86" s="49" t="str">
        <x:v>2014 Audi allroad 2.0T Premium Plus</x:v>
      </x:c>
      <x:c r="M86" s="253"/>
      <x:c r="N86" s="257"/>
      <x:c r="O86" s="49" t="str">
        <x:v>Price not exposed</x:v>
      </x:c>
      <x:c r="P86" s="49" t="str">
        <x:v>VEH-51D0DF8A635C</x:v>
      </x:c>
      <x:c r="Q86" s="49" t="str">
        <x:v>ARPI51D0DF8A635C7</x:v>
      </x:c>
      <x:c r="R86" s="249" t="n">
        <x:v>1</x:v>
      </x:c>
      <x:c r="S86" s="49" t="str">
        <x:v>Sanitized public reference data</x:v>
      </x:c>
    </x:row>
    <x:row r="87" ht="20" customHeight="1">
      <x:c r="A87" s="49" t="str">
        <x:v>GSA003-20260802-0086</x:v>
      </x:c>
      <x:c r="B87" s="49" t="str">
        <x:v>GSA-003</x:v>
      </x:c>
      <x:c r="C87" s="49" t="str">
        <x:v>Granite Used Auto Center of Merrimack</x:v>
      </x:c>
      <x:c r="D87" s="245" t="n">
        <x:v>46236</x:v>
      </x:c>
      <x:c r="E87" s="49" t="str">
        <x:v>GSA003-20260802-001</x:v>
      </x:c>
      <x:c r="F87" s="49" t="str">
        <x:v>sanitized_public_inventory_reference</x:v>
      </x:c>
      <x:c r="G87" s="49" t="str">
        <x:v>Used</x:v>
      </x:c>
      <x:c r="H87" s="249" t="n">
        <x:v>2012</x:v>
      </x:c>
      <x:c r="I87" s="49" t="str">
        <x:v>Audi</x:v>
      </x:c>
      <x:c r="J87" s="49" t="str">
        <x:v>A8</x:v>
      </x:c>
      <x:c r="K87" s="49" t="str">
        <x:v>L 4.2</x:v>
      </x:c>
      <x:c r="L87" s="49" t="str">
        <x:v>2012 Audi A8 L 4.2</x:v>
      </x:c>
      <x:c r="M87" s="253"/>
      <x:c r="N87" s="257"/>
      <x:c r="O87" s="49" t="str">
        <x:v>Price not exposed</x:v>
      </x:c>
      <x:c r="P87" s="49" t="str">
        <x:v>VEH-9637BB1E4734</x:v>
      </x:c>
      <x:c r="Q87" s="49" t="str">
        <x:v>ARPI9637BB1E47341</x:v>
      </x:c>
      <x:c r="R87" s="249" t="n">
        <x:v>1</x:v>
      </x:c>
      <x:c r="S87" s="49" t="str">
        <x:v>Sanitized public reference data</x:v>
      </x:c>
    </x:row>
    <x:row r="88" ht="20" customHeight="1">
      <x:c r="A88" s="49" t="str">
        <x:v>GSA003-20260802-0087</x:v>
      </x:c>
      <x:c r="B88" s="49" t="str">
        <x:v>GSA-003</x:v>
      </x:c>
      <x:c r="C88" s="49" t="str">
        <x:v>Granite Used Auto Center of Merrimack</x:v>
      </x:c>
      <x:c r="D88" s="245" t="n">
        <x:v>46236</x:v>
      </x:c>
      <x:c r="E88" s="49" t="str">
        <x:v>GSA003-20260802-001</x:v>
      </x:c>
      <x:c r="F88" s="49" t="str">
        <x:v>sanitized_public_inventory_reference</x:v>
      </x:c>
      <x:c r="G88" s="49" t="str">
        <x:v>Used</x:v>
      </x:c>
      <x:c r="H88" s="249" t="n">
        <x:v>2020</x:v>
      </x:c>
      <x:c r="I88" s="49" t="str">
        <x:v>Nissan</x:v>
      </x:c>
      <x:c r="J88" s="49" t="str">
        <x:v>Versa</x:v>
      </x:c>
      <x:c r="K88" s="49" t="str">
        <x:v>1.6 SV</x:v>
      </x:c>
      <x:c r="L88" s="49" t="str">
        <x:v>2020 Nissan Versa 1.6 SV</x:v>
      </x:c>
      <x:c r="M88" s="253"/>
      <x:c r="N88" s="257"/>
      <x:c r="O88" s="49" t="str">
        <x:v>Price not exposed</x:v>
      </x:c>
      <x:c r="P88" s="49" t="str">
        <x:v>VEH-EAC5B05030F9</x:v>
      </x:c>
      <x:c r="Q88" s="49" t="str">
        <x:v>ARPIEAC5B05030F93</x:v>
      </x:c>
      <x:c r="R88" s="249" t="n">
        <x:v>1</x:v>
      </x:c>
      <x:c r="S88" s="49" t="str">
        <x:v>Sanitized public reference data</x:v>
      </x:c>
    </x:row>
    <x:row r="89" ht="20" customHeight="1">
      <x:c r="A89" s="49" t="str">
        <x:v>GSA003-20260802-0088</x:v>
      </x:c>
      <x:c r="B89" s="49" t="str">
        <x:v>GSA-003</x:v>
      </x:c>
      <x:c r="C89" s="49" t="str">
        <x:v>Granite Used Auto Center of Merrimack</x:v>
      </x:c>
      <x:c r="D89" s="245" t="n">
        <x:v>46236</x:v>
      </x:c>
      <x:c r="E89" s="49" t="str">
        <x:v>GSA003-20260802-001</x:v>
      </x:c>
      <x:c r="F89" s="49" t="str">
        <x:v>sanitized_public_inventory_reference</x:v>
      </x:c>
      <x:c r="G89" s="49" t="str">
        <x:v>Used</x:v>
      </x:c>
      <x:c r="H89" s="249" t="n">
        <x:v>2024</x:v>
      </x:c>
      <x:c r="I89" s="49" t="str">
        <x:v>Dodge</x:v>
      </x:c>
      <x:c r="J89" s="49" t="str">
        <x:v>Hornet</x:v>
      </x:c>
      <x:c r="K89" s="49" t="str">
        <x:v>R/T</x:v>
      </x:c>
      <x:c r="L89" s="49" t="str">
        <x:v>2024 Dodge Hornet R/T</x:v>
      </x:c>
      <x:c r="M89" s="253"/>
      <x:c r="N89" s="257"/>
      <x:c r="O89" s="49" t="str">
        <x:v>Price not exposed</x:v>
      </x:c>
      <x:c r="P89" s="49" t="str">
        <x:v>VEH-3CE6B0D9AE84</x:v>
      </x:c>
      <x:c r="Q89" s="49" t="str">
        <x:v>ARPI3CE6B0D9AE84E</x:v>
      </x:c>
      <x:c r="R89" s="249" t="n">
        <x:v>1</x:v>
      </x:c>
      <x:c r="S89" s="49" t="str">
        <x:v>Sanitized public reference data</x:v>
      </x:c>
    </x:row>
    <x:row r="90" ht="20" customHeight="1">
      <x:c r="A90" s="49" t="str">
        <x:v>GSA003-20260802-0089</x:v>
      </x:c>
      <x:c r="B90" s="49" t="str">
        <x:v>GSA-003</x:v>
      </x:c>
      <x:c r="C90" s="49" t="str">
        <x:v>Granite Used Auto Center of Merrimack</x:v>
      </x:c>
      <x:c r="D90" s="245" t="n">
        <x:v>46236</x:v>
      </x:c>
      <x:c r="E90" s="49" t="str">
        <x:v>GSA003-20260802-001</x:v>
      </x:c>
      <x:c r="F90" s="49" t="str">
        <x:v>sanitized_public_inventory_reference</x:v>
      </x:c>
      <x:c r="G90" s="49" t="str">
        <x:v>Used</x:v>
      </x:c>
      <x:c r="H90" s="249" t="n">
        <x:v>2021</x:v>
      </x:c>
      <x:c r="I90" s="49" t="str">
        <x:v>GMC</x:v>
      </x:c>
      <x:c r="J90" s="49" t="str">
        <x:v>Acadia</x:v>
      </x:c>
      <x:c r="K90" s="49" t="str">
        <x:v>SLT</x:v>
      </x:c>
      <x:c r="L90" s="49" t="str">
        <x:v>2021 GMC Acadia SLT</x:v>
      </x:c>
      <x:c r="M90" s="253"/>
      <x:c r="N90" s="257"/>
      <x:c r="O90" s="49" t="str">
        <x:v>Price not exposed</x:v>
      </x:c>
      <x:c r="P90" s="49" t="str">
        <x:v>VEH-8116003FC798</x:v>
      </x:c>
      <x:c r="Q90" s="49" t="str">
        <x:v>ARPI8116003FC7986</x:v>
      </x:c>
      <x:c r="R90" s="249" t="n">
        <x:v>1</x:v>
      </x:c>
      <x:c r="S90" s="49" t="str">
        <x:v>Sanitized public reference data</x:v>
      </x:c>
    </x:row>
    <x:row r="91" ht="20" customHeight="1">
      <x:c r="A91" s="49" t="str">
        <x:v>GSA003-20260802-0090</x:v>
      </x:c>
      <x:c r="B91" s="49" t="str">
        <x:v>GSA-003</x:v>
      </x:c>
      <x:c r="C91" s="49" t="str">
        <x:v>Granite Used Auto Center of Merrimack</x:v>
      </x:c>
      <x:c r="D91" s="245" t="n">
        <x:v>46236</x:v>
      </x:c>
      <x:c r="E91" s="49" t="str">
        <x:v>GSA003-20260802-001</x:v>
      </x:c>
      <x:c r="F91" s="49" t="str">
        <x:v>sanitized_public_inventory_reference</x:v>
      </x:c>
      <x:c r="G91" s="49" t="str">
        <x:v>Used</x:v>
      </x:c>
      <x:c r="H91" s="249" t="n">
        <x:v>2018</x:v>
      </x:c>
      <x:c r="I91" s="49" t="str">
        <x:v>Ford</x:v>
      </x:c>
      <x:c r="J91" s="49" t="str">
        <x:v>Escape</x:v>
      </x:c>
      <x:c r="K91" s="49" t="str">
        <x:v>SE</x:v>
      </x:c>
      <x:c r="L91" s="49" t="str">
        <x:v>2018 Ford Escape SE</x:v>
      </x:c>
      <x:c r="M91" s="253"/>
      <x:c r="N91" s="257"/>
      <x:c r="O91" s="49" t="str">
        <x:v>Price not exposed</x:v>
      </x:c>
      <x:c r="P91" s="49" t="str">
        <x:v>VEH-C4DF844A1C9B</x:v>
      </x:c>
      <x:c r="Q91" s="49" t="str">
        <x:v>ARPIC4DF844A1C9B5</x:v>
      </x:c>
      <x:c r="R91" s="249" t="n">
        <x:v>1</x:v>
      </x:c>
      <x:c r="S91" s="49" t="str">
        <x:v>Sanitized public reference data</x:v>
      </x:c>
    </x:row>
    <x:row r="92" ht="20" customHeight="1">
      <x:c r="A92" s="49" t="str">
        <x:v>GSA003-20260802-0091</x:v>
      </x:c>
      <x:c r="B92" s="49" t="str">
        <x:v>GSA-003</x:v>
      </x:c>
      <x:c r="C92" s="49" t="str">
        <x:v>Granite Used Auto Center of Merrimack</x:v>
      </x:c>
      <x:c r="D92" s="245" t="n">
        <x:v>46236</x:v>
      </x:c>
      <x:c r="E92" s="49" t="str">
        <x:v>GSA003-20260802-001</x:v>
      </x:c>
      <x:c r="F92" s="49" t="str">
        <x:v>sanitized_public_inventory_reference</x:v>
      </x:c>
      <x:c r="G92" s="49" t="str">
        <x:v>Used</x:v>
      </x:c>
      <x:c r="H92" s="249" t="n">
        <x:v>2023</x:v>
      </x:c>
      <x:c r="I92" s="49" t="str">
        <x:v>Chevrolet</x:v>
      </x:c>
      <x:c r="J92" s="49" t="str">
        <x:v>Malibu</x:v>
      </x:c>
      <x:c r="K92" s="49" t="str">
        <x:v>LT</x:v>
      </x:c>
      <x:c r="L92" s="49" t="str">
        <x:v>2023 Chevrolet Malibu LT</x:v>
      </x:c>
      <x:c r="M92" s="253"/>
      <x:c r="N92" s="257"/>
      <x:c r="O92" s="49" t="str">
        <x:v>Price not exposed</x:v>
      </x:c>
      <x:c r="P92" s="49" t="str">
        <x:v>VEH-1C120783BD93</x:v>
      </x:c>
      <x:c r="Q92" s="49" t="str">
        <x:v>ARPI1C120783BD934</x:v>
      </x:c>
      <x:c r="R92" s="249" t="n">
        <x:v>1</x:v>
      </x:c>
      <x:c r="S92" s="49" t="str">
        <x:v>Sanitized public reference data</x:v>
      </x:c>
    </x:row>
    <x:row r="93" ht="20" customHeight="1">
      <x:c r="A93" s="49" t="str">
        <x:v>GSA003-20260802-0092</x:v>
      </x:c>
      <x:c r="B93" s="49" t="str">
        <x:v>GSA-003</x:v>
      </x:c>
      <x:c r="C93" s="49" t="str">
        <x:v>Granite Used Auto Center of Merrimack</x:v>
      </x:c>
      <x:c r="D93" s="245" t="n">
        <x:v>46236</x:v>
      </x:c>
      <x:c r="E93" s="49" t="str">
        <x:v>GSA003-20260802-001</x:v>
      </x:c>
      <x:c r="F93" s="49" t="str">
        <x:v>sanitized_public_inventory_reference</x:v>
      </x:c>
      <x:c r="G93" s="49" t="str">
        <x:v>Used</x:v>
      </x:c>
      <x:c r="H93" s="249" t="n">
        <x:v>2017</x:v>
      </x:c>
      <x:c r="I93" s="49" t="str">
        <x:v>Porsche</x:v>
      </x:c>
      <x:c r="J93" s="49" t="str">
        <x:v>Macan</x:v>
      </x:c>
      <x:c r="K93" s="49" t="str">
        <x:v>Base</x:v>
      </x:c>
      <x:c r="L93" s="49" t="str">
        <x:v>2017 Porsche Macan Base</x:v>
      </x:c>
      <x:c r="M93" s="253"/>
      <x:c r="N93" s="257"/>
      <x:c r="O93" s="49" t="str">
        <x:v>Price not exposed</x:v>
      </x:c>
      <x:c r="P93" s="49" t="str">
        <x:v>VEH-BC11F4E9C798</x:v>
      </x:c>
      <x:c r="Q93" s="49" t="str">
        <x:v>ARPIBC11F4E9C798C</x:v>
      </x:c>
      <x:c r="R93" s="249" t="n">
        <x:v>1</x:v>
      </x:c>
      <x:c r="S93" s="49" t="str">
        <x:v>Sanitized public reference data</x:v>
      </x:c>
    </x:row>
    <x:row r="94" ht="20" customHeight="1">
      <x:c r="A94" s="49" t="str">
        <x:v>GSA003-20260802-0093</x:v>
      </x:c>
      <x:c r="B94" s="49" t="str">
        <x:v>GSA-003</x:v>
      </x:c>
      <x:c r="C94" s="49" t="str">
        <x:v>Granite Used Auto Center of Merrimack</x:v>
      </x:c>
      <x:c r="D94" s="245" t="n">
        <x:v>46236</x:v>
      </x:c>
      <x:c r="E94" s="49" t="str">
        <x:v>GSA003-20260802-001</x:v>
      </x:c>
      <x:c r="F94" s="49" t="str">
        <x:v>sanitized_public_inventory_reference</x:v>
      </x:c>
      <x:c r="G94" s="49" t="str">
        <x:v>Used</x:v>
      </x:c>
      <x:c r="H94" s="249" t="n">
        <x:v>2020</x:v>
      </x:c>
      <x:c r="I94" s="49" t="str">
        <x:v>Ram</x:v>
      </x:c>
      <x:c r="J94" s="49" t="str">
        <x:v>1500</x:v>
      </x:c>
      <x:c r="K94" s="49" t="str">
        <x:v>Big Horn/Lone Star</x:v>
      </x:c>
      <x:c r="L94" s="49" t="str">
        <x:v>2020 Ram 1500 Big Horn/Lone Star</x:v>
      </x:c>
      <x:c r="M94" s="253"/>
      <x:c r="N94" s="257"/>
      <x:c r="O94" s="49" t="str">
        <x:v>Price not exposed</x:v>
      </x:c>
      <x:c r="P94" s="49" t="str">
        <x:v>VEH-FC6C6382994E</x:v>
      </x:c>
      <x:c r="Q94" s="49" t="str">
        <x:v>ARPIFC6C6382994E3</x:v>
      </x:c>
      <x:c r="R94" s="249" t="n">
        <x:v>1</x:v>
      </x:c>
      <x:c r="S94" s="49" t="str">
        <x:v>Sanitized public reference data</x:v>
      </x:c>
    </x:row>
    <x:row r="95" ht="20" customHeight="1">
      <x:c r="A95" s="49" t="str">
        <x:v>GSA003-20260802-0094</x:v>
      </x:c>
      <x:c r="B95" s="49" t="str">
        <x:v>GSA-003</x:v>
      </x:c>
      <x:c r="C95" s="49" t="str">
        <x:v>Granite Used Auto Center of Merrimack</x:v>
      </x:c>
      <x:c r="D95" s="245" t="n">
        <x:v>46236</x:v>
      </x:c>
      <x:c r="E95" s="49" t="str">
        <x:v>GSA003-20260802-001</x:v>
      </x:c>
      <x:c r="F95" s="49" t="str">
        <x:v>sanitized_public_inventory_reference</x:v>
      </x:c>
      <x:c r="G95" s="49" t="str">
        <x:v>Used</x:v>
      </x:c>
      <x:c r="H95" s="249" t="n">
        <x:v>2023</x:v>
      </x:c>
      <x:c r="I95" s="49" t="str">
        <x:v>Chevrolet</x:v>
      </x:c>
      <x:c r="J95" s="49" t="str">
        <x:v>Malibu</x:v>
      </x:c>
      <x:c r="K95" s="49" t="str">
        <x:v>LT</x:v>
      </x:c>
      <x:c r="L95" s="49" t="str">
        <x:v>2023 Chevrolet Malibu LT</x:v>
      </x:c>
      <x:c r="M95" s="253"/>
      <x:c r="N95" s="257"/>
      <x:c r="O95" s="49" t="str">
        <x:v>Price not exposed</x:v>
      </x:c>
      <x:c r="P95" s="49" t="str">
        <x:v>VEH-F19D9EE2972E</x:v>
      </x:c>
      <x:c r="Q95" s="49" t="str">
        <x:v>ARPIF19D9EE2972E9</x:v>
      </x:c>
      <x:c r="R95" s="249" t="n">
        <x:v>1</x:v>
      </x:c>
      <x:c r="S95" s="49" t="str">
        <x:v>Sanitized public reference data</x:v>
      </x:c>
    </x:row>
    <x:row r="96" ht="20" customHeight="1">
      <x:c r="A96" s="49" t="str">
        <x:v>GSA003-20260802-0095</x:v>
      </x:c>
      <x:c r="B96" s="49" t="str">
        <x:v>GSA-003</x:v>
      </x:c>
      <x:c r="C96" s="49" t="str">
        <x:v>Granite Used Auto Center of Merrimack</x:v>
      </x:c>
      <x:c r="D96" s="245" t="n">
        <x:v>46236</x:v>
      </x:c>
      <x:c r="E96" s="49" t="str">
        <x:v>GSA003-20260802-001</x:v>
      </x:c>
      <x:c r="F96" s="49" t="str">
        <x:v>sanitized_public_inventory_reference</x:v>
      </x:c>
      <x:c r="G96" s="49" t="str">
        <x:v>Used</x:v>
      </x:c>
      <x:c r="H96" s="249" t="n">
        <x:v>2019</x:v>
      </x:c>
      <x:c r="I96" s="49" t="str">
        <x:v>Honda</x:v>
      </x:c>
      <x:c r="J96" s="49" t="str">
        <x:v>Passport</x:v>
      </x:c>
      <x:c r="K96" s="49" t="str">
        <x:v>Touring</x:v>
      </x:c>
      <x:c r="L96" s="49" t="str">
        <x:v>2019 Honda Passport Touring</x:v>
      </x:c>
      <x:c r="M96" s="253"/>
      <x:c r="N96" s="257"/>
      <x:c r="O96" s="49" t="str">
        <x:v>Price not exposed</x:v>
      </x:c>
      <x:c r="P96" s="49" t="str">
        <x:v>VEH-5C2702C5840F</x:v>
      </x:c>
      <x:c r="Q96" s="49" t="str">
        <x:v>ARPI5C2702C5840FB</x:v>
      </x:c>
      <x:c r="R96" s="249" t="n">
        <x:v>1</x:v>
      </x:c>
      <x:c r="S96" s="49" t="str">
        <x:v>Sanitized public reference data</x:v>
      </x:c>
    </x:row>
    <x:row r="97" ht="20" customHeight="1">
      <x:c r="A97" s="49" t="str">
        <x:v>GSA003-20260802-0096</x:v>
      </x:c>
      <x:c r="B97" s="49" t="str">
        <x:v>GSA-003</x:v>
      </x:c>
      <x:c r="C97" s="49" t="str">
        <x:v>Granite Used Auto Center of Merrimack</x:v>
      </x:c>
      <x:c r="D97" s="245" t="n">
        <x:v>46236</x:v>
      </x:c>
      <x:c r="E97" s="49" t="str">
        <x:v>GSA003-20260802-001</x:v>
      </x:c>
      <x:c r="F97" s="49" t="str">
        <x:v>sanitized_public_inventory_reference</x:v>
      </x:c>
      <x:c r="G97" s="49" t="str">
        <x:v>Used</x:v>
      </x:c>
      <x:c r="H97" s="249" t="n">
        <x:v>2019</x:v>
      </x:c>
      <x:c r="I97" s="49" t="str">
        <x:v>BMW</x:v>
      </x:c>
      <x:c r="J97" s="49" t="str">
        <x:v>X5</x:v>
      </x:c>
      <x:c r="K97" s="49" t="str">
        <x:v>xDrive40i</x:v>
      </x:c>
      <x:c r="L97" s="49" t="str">
        <x:v>2019 BMW X5 xDrive40i</x:v>
      </x:c>
      <x:c r="M97" s="253"/>
      <x:c r="N97" s="257"/>
      <x:c r="O97" s="49" t="str">
        <x:v>Price not exposed</x:v>
      </x:c>
      <x:c r="P97" s="49" t="str">
        <x:v>VEH-F3E7FBF6DA2F</x:v>
      </x:c>
      <x:c r="Q97" s="49" t="str">
        <x:v>ARPIF3E7FBF6DA2F3</x:v>
      </x:c>
      <x:c r="R97" s="249" t="n">
        <x:v>1</x:v>
      </x:c>
      <x:c r="S97" s="49" t="str">
        <x:v>Sanitized public reference data</x:v>
      </x:c>
    </x:row>
    <x:row r="98" ht="20" customHeight="1">
      <x:c r="A98" s="49" t="str">
        <x:v>GSA003-20260802-0097</x:v>
      </x:c>
      <x:c r="B98" s="49" t="str">
        <x:v>GSA-003</x:v>
      </x:c>
      <x:c r="C98" s="49" t="str">
        <x:v>Granite Used Auto Center of Merrimack</x:v>
      </x:c>
      <x:c r="D98" s="245" t="n">
        <x:v>46236</x:v>
      </x:c>
      <x:c r="E98" s="49" t="str">
        <x:v>GSA003-20260802-001</x:v>
      </x:c>
      <x:c r="F98" s="49" t="str">
        <x:v>sanitized_public_inventory_reference</x:v>
      </x:c>
      <x:c r="G98" s="49" t="str">
        <x:v>Used</x:v>
      </x:c>
      <x:c r="H98" s="249" t="n">
        <x:v>2021</x:v>
      </x:c>
      <x:c r="I98" s="49" t="str">
        <x:v>Chevrolet</x:v>
      </x:c>
      <x:c r="J98" s="49" t="str">
        <x:v>TrailBlazer</x:v>
      </x:c>
      <x:c r="K98" s="49" t="str">
        <x:v>LT</x:v>
      </x:c>
      <x:c r="L98" s="49" t="str">
        <x:v>2021 Chevrolet TrailBlazer LT</x:v>
      </x:c>
      <x:c r="M98" s="253"/>
      <x:c r="N98" s="257"/>
      <x:c r="O98" s="49" t="str">
        <x:v>Price not exposed</x:v>
      </x:c>
      <x:c r="P98" s="49" t="str">
        <x:v>VEH-59480E6CFE92</x:v>
      </x:c>
      <x:c r="Q98" s="49" t="str">
        <x:v>ARPI59480E6CFE92B</x:v>
      </x:c>
      <x:c r="R98" s="249" t="n">
        <x:v>1</x:v>
      </x:c>
      <x:c r="S98" s="49" t="str">
        <x:v>Sanitized public reference data</x:v>
      </x:c>
    </x:row>
    <x:row r="99" ht="20" customHeight="1">
      <x:c r="A99" s="49" t="str">
        <x:v>GSA003-20260802-0098</x:v>
      </x:c>
      <x:c r="B99" s="49" t="str">
        <x:v>GSA-003</x:v>
      </x:c>
      <x:c r="C99" s="49" t="str">
        <x:v>Granite Used Auto Center of Merrimack</x:v>
      </x:c>
      <x:c r="D99" s="245" t="n">
        <x:v>46236</x:v>
      </x:c>
      <x:c r="E99" s="49" t="str">
        <x:v>GSA003-20260802-001</x:v>
      </x:c>
      <x:c r="F99" s="49" t="str">
        <x:v>sanitized_public_inventory_reference</x:v>
      </x:c>
      <x:c r="G99" s="49" t="str">
        <x:v>Used</x:v>
      </x:c>
      <x:c r="H99" s="249" t="n">
        <x:v>2023</x:v>
      </x:c>
      <x:c r="I99" s="49" t="str">
        <x:v>Chevrolet</x:v>
      </x:c>
      <x:c r="J99" s="49" t="str">
        <x:v>TrailBlazer</x:v>
      </x:c>
      <x:c r="K99" s="49" t="str">
        <x:v>RS</x:v>
      </x:c>
      <x:c r="L99" s="49" t="str">
        <x:v>2023 Chevrolet TrailBlazer RS</x:v>
      </x:c>
      <x:c r="M99" s="253"/>
      <x:c r="N99" s="257"/>
      <x:c r="O99" s="49" t="str">
        <x:v>Price not exposed</x:v>
      </x:c>
      <x:c r="P99" s="49" t="str">
        <x:v>VEH-ED9DF668DC81</x:v>
      </x:c>
      <x:c r="Q99" s="49" t="str">
        <x:v>ARPIED9DF668DC819</x:v>
      </x:c>
      <x:c r="R99" s="249" t="n">
        <x:v>1</x:v>
      </x:c>
      <x:c r="S99" s="49" t="str">
        <x:v>Sanitized public reference data</x:v>
      </x:c>
    </x:row>
    <x:row r="100" ht="20" customHeight="1">
      <x:c r="A100" s="49" t="str">
        <x:v>GSA003-20260802-0099</x:v>
      </x:c>
      <x:c r="B100" s="49" t="str">
        <x:v>GSA-003</x:v>
      </x:c>
      <x:c r="C100" s="49" t="str">
        <x:v>Granite Used Auto Center of Merrimack</x:v>
      </x:c>
      <x:c r="D100" s="245" t="n">
        <x:v>46236</x:v>
      </x:c>
      <x:c r="E100" s="49" t="str">
        <x:v>GSA003-20260802-001</x:v>
      </x:c>
      <x:c r="F100" s="49" t="str">
        <x:v>sanitized_public_inventory_reference</x:v>
      </x:c>
      <x:c r="G100" s="49" t="str">
        <x:v>Used</x:v>
      </x:c>
      <x:c r="H100" s="249" t="n">
        <x:v>2018</x:v>
      </x:c>
      <x:c r="I100" s="49" t="str">
        <x:v>Chevrolet</x:v>
      </x:c>
      <x:c r="J100" s="49" t="str">
        <x:v>Traverse</x:v>
      </x:c>
      <x:c r="K100" s="49" t="str">
        <x:v>LS</x:v>
      </x:c>
      <x:c r="L100" s="49" t="str">
        <x:v>2018 Chevrolet Traverse LS</x:v>
      </x:c>
      <x:c r="M100" s="253"/>
      <x:c r="N100" s="257"/>
      <x:c r="O100" s="49" t="str">
        <x:v>Price not exposed</x:v>
      </x:c>
      <x:c r="P100" s="49" t="str">
        <x:v>VEH-5AF3A0C288C5</x:v>
      </x:c>
      <x:c r="Q100" s="49" t="str">
        <x:v>ARPI5AF3A0C288C58</x:v>
      </x:c>
      <x:c r="R100" s="249" t="n">
        <x:v>1</x:v>
      </x:c>
      <x:c r="S100" s="49" t="str">
        <x:v>Sanitized public reference data</x:v>
      </x:c>
    </x:row>
    <x:row r="101" ht="20" customHeight="1">
      <x:c r="A101" s="49" t="str">
        <x:v>GSA003-20260802-0100</x:v>
      </x:c>
      <x:c r="B101" s="49" t="str">
        <x:v>GSA-003</x:v>
      </x:c>
      <x:c r="C101" s="49" t="str">
        <x:v>Granite Used Auto Center of Merrimack</x:v>
      </x:c>
      <x:c r="D101" s="245" t="n">
        <x:v>46236</x:v>
      </x:c>
      <x:c r="E101" s="49" t="str">
        <x:v>GSA003-20260802-001</x:v>
      </x:c>
      <x:c r="F101" s="49" t="str">
        <x:v>sanitized_public_inventory_reference</x:v>
      </x:c>
      <x:c r="G101" s="49" t="str">
        <x:v>Used</x:v>
      </x:c>
      <x:c r="H101" s="249" t="n">
        <x:v>2024</x:v>
      </x:c>
      <x:c r="I101" s="49" t="str">
        <x:v>Hyundai</x:v>
      </x:c>
      <x:c r="J101" s="49" t="str">
        <x:v>Elantra</x:v>
      </x:c>
      <x:c r="K101" s="49" t="str">
        <x:v>SE</x:v>
      </x:c>
      <x:c r="L101" s="49" t="str">
        <x:v>2024 Hyundai Elantra SE</x:v>
      </x:c>
      <x:c r="M101" s="253"/>
      <x:c r="N101" s="257"/>
      <x:c r="O101" s="49" t="str">
        <x:v>Price not exposed</x:v>
      </x:c>
      <x:c r="P101" s="49" t="str">
        <x:v>VEH-DF61611837E3</x:v>
      </x:c>
      <x:c r="Q101" s="49" t="str">
        <x:v>ARPIDF61611837E32</x:v>
      </x:c>
      <x:c r="R101" s="249" t="n">
        <x:v>1</x:v>
      </x:c>
      <x:c r="S101" s="49" t="str">
        <x:v>Sanitized public reference data</x:v>
      </x:c>
    </x:row>
    <x:row r="102" ht="20" customHeight="1">
      <x:c r="A102" s="49" t="str">
        <x:v>GSA003-20260802-0101</x:v>
      </x:c>
      <x:c r="B102" s="49" t="str">
        <x:v>GSA-003</x:v>
      </x:c>
      <x:c r="C102" s="49" t="str">
        <x:v>Granite Used Auto Center of Merrimack</x:v>
      </x:c>
      <x:c r="D102" s="245" t="n">
        <x:v>46236</x:v>
      </x:c>
      <x:c r="E102" s="49" t="str">
        <x:v>GSA003-20260802-001</x:v>
      </x:c>
      <x:c r="F102" s="49" t="str">
        <x:v>sanitized_public_inventory_reference</x:v>
      </x:c>
      <x:c r="G102" s="49" t="str">
        <x:v>Used</x:v>
      </x:c>
      <x:c r="H102" s="249" t="n">
        <x:v>2018</x:v>
      </x:c>
      <x:c r="I102" s="49" t="str">
        <x:v>Ram</x:v>
      </x:c>
      <x:c r="J102" s="49" t="str">
        <x:v>1500</x:v>
      </x:c>
      <x:c r="K102" s="49" t="str">
        <x:v>Express</x:v>
      </x:c>
      <x:c r="L102" s="49" t="str">
        <x:v>2018 Ram 1500 Express</x:v>
      </x:c>
      <x:c r="M102" s="253"/>
      <x:c r="N102" s="257"/>
      <x:c r="O102" s="49" t="str">
        <x:v>Price not exposed</x:v>
      </x:c>
      <x:c r="P102" s="49" t="str">
        <x:v>VEH-86090B7BA967</x:v>
      </x:c>
      <x:c r="Q102" s="49" t="str">
        <x:v>ARPI86090B7BA9674</x:v>
      </x:c>
      <x:c r="R102" s="249" t="n">
        <x:v>1</x:v>
      </x:c>
      <x:c r="S102" s="49" t="str">
        <x:v>Sanitized public reference data</x:v>
      </x:c>
    </x:row>
    <x:row r="103" ht="20" customHeight="1">
      <x:c r="A103" s="49" t="str">
        <x:v>GSA003-20260802-0102</x:v>
      </x:c>
      <x:c r="B103" s="49" t="str">
        <x:v>GSA-003</x:v>
      </x:c>
      <x:c r="C103" s="49" t="str">
        <x:v>Granite Used Auto Center of Merrimack</x:v>
      </x:c>
      <x:c r="D103" s="245" t="n">
        <x:v>46236</x:v>
      </x:c>
      <x:c r="E103" s="49" t="str">
        <x:v>GSA003-20260802-001</x:v>
      </x:c>
      <x:c r="F103" s="49" t="str">
        <x:v>sanitized_public_inventory_reference</x:v>
      </x:c>
      <x:c r="G103" s="49" t="str">
        <x:v>Used</x:v>
      </x:c>
      <x:c r="H103" s="249" t="n">
        <x:v>2017</x:v>
      </x:c>
      <x:c r="I103" s="49" t="str">
        <x:v>Chevrolet</x:v>
      </x:c>
      <x:c r="J103" s="49" t="str">
        <x:v>Silverado 1500</x:v>
      </x:c>
      <x:c r="K103" s="49" t="str">
        <x:v>LT</x:v>
      </x:c>
      <x:c r="L103" s="49" t="str">
        <x:v>2017 Chevrolet Silverado 1500 LT</x:v>
      </x:c>
      <x:c r="M103" s="253"/>
      <x:c r="N103" s="257"/>
      <x:c r="O103" s="49" t="str">
        <x:v>Price not exposed</x:v>
      </x:c>
      <x:c r="P103" s="49" t="str">
        <x:v>VEH-CD6EBAF06111</x:v>
      </x:c>
      <x:c r="Q103" s="49" t="str">
        <x:v>ARPICD6EBAF061118</x:v>
      </x:c>
      <x:c r="R103" s="249" t="n">
        <x:v>1</x:v>
      </x:c>
      <x:c r="S103" s="49" t="str">
        <x:v>Sanitized public reference data</x:v>
      </x:c>
    </x:row>
    <x:row r="104" ht="20" customHeight="1">
      <x:c r="A104" s="49" t="str">
        <x:v>GSA003-20260802-0103</x:v>
      </x:c>
      <x:c r="B104" s="49" t="str">
        <x:v>GSA-003</x:v>
      </x:c>
      <x:c r="C104" s="49" t="str">
        <x:v>Granite Used Auto Center of Merrimack</x:v>
      </x:c>
      <x:c r="D104" s="245" t="n">
        <x:v>46236</x:v>
      </x:c>
      <x:c r="E104" s="49" t="str">
        <x:v>GSA003-20260802-001</x:v>
      </x:c>
      <x:c r="F104" s="49" t="str">
        <x:v>sanitized_public_inventory_reference</x:v>
      </x:c>
      <x:c r="G104" s="49" t="str">
        <x:v>Used</x:v>
      </x:c>
      <x:c r="H104" s="249" t="n">
        <x:v>2015</x:v>
      </x:c>
      <x:c r="I104" s="49" t="str">
        <x:v>Honda</x:v>
      </x:c>
      <x:c r="J104" s="49" t="str">
        <x:v>Odyssey</x:v>
      </x:c>
      <x:c r="K104" s="49" t="str">
        <x:v>EX</x:v>
      </x:c>
      <x:c r="L104" s="49" t="str">
        <x:v>2015 Honda Odyssey EX</x:v>
      </x:c>
      <x:c r="M104" s="253"/>
      <x:c r="N104" s="257"/>
      <x:c r="O104" s="49" t="str">
        <x:v>Price not exposed</x:v>
      </x:c>
      <x:c r="P104" s="49" t="str">
        <x:v>VEH-5BC81370EBBC</x:v>
      </x:c>
      <x:c r="Q104" s="49" t="str">
        <x:v>ARPI5BC81370EBBC5</x:v>
      </x:c>
      <x:c r="R104" s="249" t="n">
        <x:v>1</x:v>
      </x:c>
      <x:c r="S104" s="49" t="str">
        <x:v>Sanitized public reference data</x:v>
      </x:c>
    </x:row>
    <x:row r="105" ht="20" customHeight="1">
      <x:c r="A105" s="49" t="str">
        <x:v>GSA003-20260802-0104</x:v>
      </x:c>
      <x:c r="B105" s="49" t="str">
        <x:v>GSA-003</x:v>
      </x:c>
      <x:c r="C105" s="49" t="str">
        <x:v>Granite Used Auto Center of Merrimack</x:v>
      </x:c>
      <x:c r="D105" s="245" t="n">
        <x:v>46236</x:v>
      </x:c>
      <x:c r="E105" s="49" t="str">
        <x:v>GSA003-20260802-001</x:v>
      </x:c>
      <x:c r="F105" s="49" t="str">
        <x:v>sanitized_public_inventory_reference</x:v>
      </x:c>
      <x:c r="G105" s="49" t="str">
        <x:v>Used</x:v>
      </x:c>
      <x:c r="H105" s="249" t="n">
        <x:v>2019</x:v>
      </x:c>
      <x:c r="I105" s="49" t="str">
        <x:v>Ram</x:v>
      </x:c>
      <x:c r="J105" s="49" t="str">
        <x:v>1500</x:v>
      </x:c>
      <x:c r="K105" s="49" t="str">
        <x:v>Big Horn/Lone Star</x:v>
      </x:c>
      <x:c r="L105" s="49" t="str">
        <x:v>2019 Ram 1500 Big Horn/Lone Star</x:v>
      </x:c>
      <x:c r="M105" s="253" t="n">
        <x:v>120811</x:v>
      </x:c>
      <x:c r="N105" s="257" t="n">
        <x:v>19495</x:v>
      </x:c>
      <x:c r="O105" s="49" t="str">
        <x:v>Listed</x:v>
      </x:c>
      <x:c r="P105" s="49" t="str">
        <x:v>VEH-2B58321EAB81</x:v>
      </x:c>
      <x:c r="Q105" s="49" t="str">
        <x:v>ARPI2B58321EAB81E</x:v>
      </x:c>
      <x:c r="R105" s="249" t="n">
        <x:v>1</x:v>
      </x:c>
      <x:c r="S105" s="49" t="str">
        <x:v>Sanitized public reference data</x:v>
      </x:c>
    </x:row>
    <x:row r="106" ht="20" customHeight="1">
      <x:c r="A106" s="49" t="str">
        <x:v>GSA003-20260802-0105</x:v>
      </x:c>
      <x:c r="B106" s="49" t="str">
        <x:v>GSA-003</x:v>
      </x:c>
      <x:c r="C106" s="49" t="str">
        <x:v>Granite Used Auto Center of Merrimack</x:v>
      </x:c>
      <x:c r="D106" s="245" t="n">
        <x:v>46236</x:v>
      </x:c>
      <x:c r="E106" s="49" t="str">
        <x:v>GSA003-20260802-001</x:v>
      </x:c>
      <x:c r="F106" s="49" t="str">
        <x:v>sanitized_public_inventory_reference</x:v>
      </x:c>
      <x:c r="G106" s="49" t="str">
        <x:v>Used</x:v>
      </x:c>
      <x:c r="H106" s="249" t="n">
        <x:v>2019</x:v>
      </x:c>
      <x:c r="I106" s="49" t="str">
        <x:v>Subaru</x:v>
      </x:c>
      <x:c r="J106" s="49" t="str">
        <x:v>Forester</x:v>
      </x:c>
      <x:c r="K106" s="49" t="str">
        <x:v>Sport</x:v>
      </x:c>
      <x:c r="L106" s="49" t="str">
        <x:v>2019 Subaru Forester Sport</x:v>
      </x:c>
      <x:c r="M106" s="253"/>
      <x:c r="N106" s="257"/>
      <x:c r="O106" s="49" t="str">
        <x:v>Price not exposed</x:v>
      </x:c>
      <x:c r="P106" s="49" t="str">
        <x:v>VEH-285DE7941EC0</x:v>
      </x:c>
      <x:c r="Q106" s="49" t="str">
        <x:v>ARPI285DE7941EC03</x:v>
      </x:c>
      <x:c r="R106" s="249" t="n">
        <x:v>1</x:v>
      </x:c>
      <x:c r="S106" s="49" t="str">
        <x:v>Sanitized public reference data</x:v>
      </x:c>
    </x:row>
    <x:row r="107" ht="20" customHeight="1">
      <x:c r="A107" s="49" t="str">
        <x:v>GSA003-20260802-0106</x:v>
      </x:c>
      <x:c r="B107" s="49" t="str">
        <x:v>GSA-003</x:v>
      </x:c>
      <x:c r="C107" s="49" t="str">
        <x:v>Granite Used Auto Center of Merrimack</x:v>
      </x:c>
      <x:c r="D107" s="245" t="n">
        <x:v>46236</x:v>
      </x:c>
      <x:c r="E107" s="49" t="str">
        <x:v>GSA003-20260802-001</x:v>
      </x:c>
      <x:c r="F107" s="49" t="str">
        <x:v>sanitized_public_inventory_reference</x:v>
      </x:c>
      <x:c r="G107" s="49" t="str">
        <x:v>Used</x:v>
      </x:c>
      <x:c r="H107" s="249" t="n">
        <x:v>2013</x:v>
      </x:c>
      <x:c r="I107" s="49" t="str">
        <x:v>Cadillac</x:v>
      </x:c>
      <x:c r="J107" s="49" t="str">
        <x:v>ATS</x:v>
      </x:c>
      <x:c r="K107" s="49" t="str">
        <x:v>2.0L Turbo Performance</x:v>
      </x:c>
      <x:c r="L107" s="49" t="str">
        <x:v>2013 Cadillac ATS 2.0L Turbo Performance</x:v>
      </x:c>
      <x:c r="M107" s="253"/>
      <x:c r="N107" s="257"/>
      <x:c r="O107" s="49" t="str">
        <x:v>Price not exposed</x:v>
      </x:c>
      <x:c r="P107" s="49" t="str">
        <x:v>VEH-CF48F8DFC323</x:v>
      </x:c>
      <x:c r="Q107" s="49" t="str">
        <x:v>ARPICF48F8DFC3237</x:v>
      </x:c>
      <x:c r="R107" s="249" t="n">
        <x:v>1</x:v>
      </x:c>
      <x:c r="S107" s="49" t="str">
        <x:v>Sanitized public reference data</x:v>
      </x:c>
    </x:row>
    <x:row r="108" ht="20" customHeight="1">
      <x:c r="A108" s="49" t="str">
        <x:v>GSA003-20260802-0107</x:v>
      </x:c>
      <x:c r="B108" s="49" t="str">
        <x:v>GSA-003</x:v>
      </x:c>
      <x:c r="C108" s="49" t="str">
        <x:v>Granite Used Auto Center of Merrimack</x:v>
      </x:c>
      <x:c r="D108" s="245" t="n">
        <x:v>46236</x:v>
      </x:c>
      <x:c r="E108" s="49" t="str">
        <x:v>GSA003-20260802-001</x:v>
      </x:c>
      <x:c r="F108" s="49" t="str">
        <x:v>sanitized_public_inventory_reference</x:v>
      </x:c>
      <x:c r="G108" s="49" t="str">
        <x:v>Used</x:v>
      </x:c>
      <x:c r="H108" s="249" t="n">
        <x:v>2019</x:v>
      </x:c>
      <x:c r="I108" s="49" t="str">
        <x:v>Volvo</x:v>
      </x:c>
      <x:c r="J108" s="49" t="str">
        <x:v>S60</x:v>
      </x:c>
      <x:c r="K108" s="49" t="str">
        <x:v>T6 R-Design</x:v>
      </x:c>
      <x:c r="L108" s="49" t="str">
        <x:v>2019 Volvo S60 T6 R-Design</x:v>
      </x:c>
      <x:c r="M108" s="253"/>
      <x:c r="N108" s="257"/>
      <x:c r="O108" s="49" t="str">
        <x:v>Price not exposed</x:v>
      </x:c>
      <x:c r="P108" s="49" t="str">
        <x:v>VEH-2F2A1FD80B99</x:v>
      </x:c>
      <x:c r="Q108" s="49" t="str">
        <x:v>ARPI2F2A1FD80B993</x:v>
      </x:c>
      <x:c r="R108" s="249" t="n">
        <x:v>1</x:v>
      </x:c>
      <x:c r="S108" s="49" t="str">
        <x:v>Sanitized public reference data</x:v>
      </x:c>
    </x:row>
    <x:row r="109" ht="20" customHeight="1">
      <x:c r="A109" s="49" t="str">
        <x:v>GSA003-20260802-0108</x:v>
      </x:c>
      <x:c r="B109" s="49" t="str">
        <x:v>GSA-003</x:v>
      </x:c>
      <x:c r="C109" s="49" t="str">
        <x:v>Granite Used Auto Center of Merrimack</x:v>
      </x:c>
      <x:c r="D109" s="245" t="n">
        <x:v>46236</x:v>
      </x:c>
      <x:c r="E109" s="49" t="str">
        <x:v>GSA003-20260802-001</x:v>
      </x:c>
      <x:c r="F109" s="49" t="str">
        <x:v>sanitized_public_inventory_reference</x:v>
      </x:c>
      <x:c r="G109" s="49" t="str">
        <x:v>Used</x:v>
      </x:c>
      <x:c r="H109" s="249" t="n">
        <x:v>2024</x:v>
      </x:c>
      <x:c r="I109" s="49" t="str">
        <x:v>Chevrolet</x:v>
      </x:c>
      <x:c r="J109" s="49" t="str">
        <x:v>Malibu</x:v>
      </x:c>
      <x:c r="K109" s="49" t="str">
        <x:v>LT</x:v>
      </x:c>
      <x:c r="L109" s="49" t="str">
        <x:v>2024 Chevrolet Malibu LT</x:v>
      </x:c>
      <x:c r="M109" s="253"/>
      <x:c r="N109" s="257"/>
      <x:c r="O109" s="49" t="str">
        <x:v>Price not exposed</x:v>
      </x:c>
      <x:c r="P109" s="49" t="str">
        <x:v>VEH-540B46D865D8</x:v>
      </x:c>
      <x:c r="Q109" s="49" t="str">
        <x:v>ARPI540B46D865D82</x:v>
      </x:c>
      <x:c r="R109" s="249" t="n">
        <x:v>1</x:v>
      </x:c>
      <x:c r="S109" s="49" t="str">
        <x:v>Sanitized public reference data</x:v>
      </x:c>
    </x:row>
    <x:row r="110" ht="20" customHeight="1">
      <x:c r="A110" s="49" t="str">
        <x:v>GSA003-20260802-0109</x:v>
      </x:c>
      <x:c r="B110" s="49" t="str">
        <x:v>GSA-003</x:v>
      </x:c>
      <x:c r="C110" s="49" t="str">
        <x:v>Granite Used Auto Center of Merrimack</x:v>
      </x:c>
      <x:c r="D110" s="245" t="n">
        <x:v>46236</x:v>
      </x:c>
      <x:c r="E110" s="49" t="str">
        <x:v>GSA003-20260802-001</x:v>
      </x:c>
      <x:c r="F110" s="49" t="str">
        <x:v>sanitized_public_inventory_reference</x:v>
      </x:c>
      <x:c r="G110" s="49" t="str">
        <x:v>Used</x:v>
      </x:c>
      <x:c r="H110" s="249" t="n">
        <x:v>2024</x:v>
      </x:c>
      <x:c r="I110" s="49" t="str">
        <x:v>Kia</x:v>
      </x:c>
      <x:c r="J110" s="49" t="str">
        <x:v>Forte</x:v>
      </x:c>
      <x:c r="K110" s="49" t="str">
        <x:v>LXS</x:v>
      </x:c>
      <x:c r="L110" s="49" t="str">
        <x:v>2024 Kia Forte LXS</x:v>
      </x:c>
      <x:c r="M110" s="253"/>
      <x:c r="N110" s="257"/>
      <x:c r="O110" s="49" t="str">
        <x:v>Price not exposed</x:v>
      </x:c>
      <x:c r="P110" s="49" t="str">
        <x:v>VEH-780D28AFE53F</x:v>
      </x:c>
      <x:c r="Q110" s="49" t="str">
        <x:v>ARPI780D28AFE53FD</x:v>
      </x:c>
      <x:c r="R110" s="249" t="n">
        <x:v>1</x:v>
      </x:c>
      <x:c r="S110" s="49" t="str">
        <x:v>Sanitized public reference data</x:v>
      </x:c>
    </x:row>
    <x:row r="111" ht="20" customHeight="1">
      <x:c r="A111" s="49" t="str">
        <x:v>GSA003-20260802-0110</x:v>
      </x:c>
      <x:c r="B111" s="49" t="str">
        <x:v>GSA-003</x:v>
      </x:c>
      <x:c r="C111" s="49" t="str">
        <x:v>Granite Used Auto Center of Merrimack</x:v>
      </x:c>
      <x:c r="D111" s="245" t="n">
        <x:v>46236</x:v>
      </x:c>
      <x:c r="E111" s="49" t="str">
        <x:v>GSA003-20260802-001</x:v>
      </x:c>
      <x:c r="F111" s="49" t="str">
        <x:v>sanitized_public_inventory_reference</x:v>
      </x:c>
      <x:c r="G111" s="49" t="str">
        <x:v>Used</x:v>
      </x:c>
      <x:c r="H111" s="249" t="n">
        <x:v>2014</x:v>
      </x:c>
      <x:c r="I111" s="49" t="str">
        <x:v>Porsche</x:v>
      </x:c>
      <x:c r="J111" s="49" t="str">
        <x:v>Panamera</x:v>
      </x:c>
      <x:c r="K111" s="49" t="str">
        <x:v>4S</x:v>
      </x:c>
      <x:c r="L111" s="49" t="str">
        <x:v>2014 Porsche Panamera 4S</x:v>
      </x:c>
      <x:c r="M111" s="253"/>
      <x:c r="N111" s="257"/>
      <x:c r="O111" s="49" t="str">
        <x:v>Price not exposed</x:v>
      </x:c>
      <x:c r="P111" s="49" t="str">
        <x:v>VEH-A08D4CEE1DF2</x:v>
      </x:c>
      <x:c r="Q111" s="49" t="str">
        <x:v>ARPIA08D4CEE1DF27</x:v>
      </x:c>
      <x:c r="R111" s="249" t="n">
        <x:v>1</x:v>
      </x:c>
      <x:c r="S111" s="49" t="str">
        <x:v>Sanitized public reference data</x:v>
      </x:c>
    </x:row>
    <x:row r="112" ht="20" customHeight="1">
      <x:c r="A112" s="49" t="str">
        <x:v>GSA003-20260802-0111</x:v>
      </x:c>
      <x:c r="B112" s="49" t="str">
        <x:v>GSA-003</x:v>
      </x:c>
      <x:c r="C112" s="49" t="str">
        <x:v>Granite Used Auto Center of Merrimack</x:v>
      </x:c>
      <x:c r="D112" s="245" t="n">
        <x:v>46236</x:v>
      </x:c>
      <x:c r="E112" s="49" t="str">
        <x:v>GSA003-20260802-001</x:v>
      </x:c>
      <x:c r="F112" s="49" t="str">
        <x:v>sanitized_public_inventory_reference</x:v>
      </x:c>
      <x:c r="G112" s="49" t="str">
        <x:v>Used</x:v>
      </x:c>
      <x:c r="H112" s="249" t="n">
        <x:v>2015</x:v>
      </x:c>
      <x:c r="I112" s="49" t="str">
        <x:v>Mazda</x:v>
      </x:c>
      <x:c r="J112" s="49" t="str">
        <x:v>Mazda6</x:v>
      </x:c>
      <x:c r="K112" s="49" t="str">
        <x:v>i Sport</x:v>
      </x:c>
      <x:c r="L112" s="49" t="str">
        <x:v>2015 Mazda Mazda6 i Sport</x:v>
      </x:c>
      <x:c r="M112" s="253"/>
      <x:c r="N112" s="257"/>
      <x:c r="O112" s="49" t="str">
        <x:v>Price not exposed</x:v>
      </x:c>
      <x:c r="P112" s="49" t="str">
        <x:v>VEH-70F6940F39C3</x:v>
      </x:c>
      <x:c r="Q112" s="49" t="str">
        <x:v>ARPI70F6940F39C3E</x:v>
      </x:c>
      <x:c r="R112" s="249" t="n">
        <x:v>1</x:v>
      </x:c>
      <x:c r="S112" s="49" t="str">
        <x:v>Sanitized public reference data</x:v>
      </x:c>
    </x:row>
    <x:row r="113" ht="20" customHeight="1">
      <x:c r="A113" s="49" t="str">
        <x:v>GSA003-20260802-0112</x:v>
      </x:c>
      <x:c r="B113" s="49" t="str">
        <x:v>GSA-003</x:v>
      </x:c>
      <x:c r="C113" s="49" t="str">
        <x:v>Granite Used Auto Center of Merrimack</x:v>
      </x:c>
      <x:c r="D113" s="245" t="n">
        <x:v>46236</x:v>
      </x:c>
      <x:c r="E113" s="49" t="str">
        <x:v>GSA003-20260802-001</x:v>
      </x:c>
      <x:c r="F113" s="49" t="str">
        <x:v>sanitized_public_inventory_reference</x:v>
      </x:c>
      <x:c r="G113" s="49" t="str">
        <x:v>Used</x:v>
      </x:c>
      <x:c r="H113" s="249" t="n">
        <x:v>2012</x:v>
      </x:c>
      <x:c r="I113" s="49" t="str">
        <x:v>Honda</x:v>
      </x:c>
      <x:c r="J113" s="49" t="str">
        <x:v>Civic</x:v>
      </x:c>
      <x:c r="K113" s="49" t="str">
        <x:v>LX</x:v>
      </x:c>
      <x:c r="L113" s="49" t="str">
        <x:v>2012 Honda Civic LX</x:v>
      </x:c>
      <x:c r="M113" s="253"/>
      <x:c r="N113" s="257"/>
      <x:c r="O113" s="49" t="str">
        <x:v>Price not exposed</x:v>
      </x:c>
      <x:c r="P113" s="49" t="str">
        <x:v>VEH-3371AC5DD586</x:v>
      </x:c>
      <x:c r="Q113" s="49" t="str">
        <x:v>ARPI3371AC5DD5864</x:v>
      </x:c>
      <x:c r="R113" s="249" t="n">
        <x:v>1</x:v>
      </x:c>
      <x:c r="S113" s="49" t="str">
        <x:v>Sanitized public reference data</x:v>
      </x:c>
    </x:row>
    <x:row r="114" ht="20" customHeight="1">
      <x:c r="A114" s="49" t="str">
        <x:v>GSA003-20260802-0113</x:v>
      </x:c>
      <x:c r="B114" s="49" t="str">
        <x:v>GSA-003</x:v>
      </x:c>
      <x:c r="C114" s="49" t="str">
        <x:v>Granite Used Auto Center of Merrimack</x:v>
      </x:c>
      <x:c r="D114" s="245" t="n">
        <x:v>46236</x:v>
      </x:c>
      <x:c r="E114" s="49" t="str">
        <x:v>GSA003-20260802-001</x:v>
      </x:c>
      <x:c r="F114" s="49" t="str">
        <x:v>sanitized_public_inventory_reference</x:v>
      </x:c>
      <x:c r="G114" s="49" t="str">
        <x:v>Used</x:v>
      </x:c>
      <x:c r="H114" s="249" t="n">
        <x:v>2015</x:v>
      </x:c>
      <x:c r="I114" s="49" t="str">
        <x:v>Chevrolet</x:v>
      </x:c>
      <x:c r="J114" s="49" t="str">
        <x:v>Silverado 2500HD</x:v>
      </x:c>
      <x:c r="K114" s="49" t="str">
        <x:v>LT</x:v>
      </x:c>
      <x:c r="L114" s="49" t="str">
        <x:v>2015 Chevrolet Silverado 2500HD LT</x:v>
      </x:c>
      <x:c r="M114" s="253" t="n">
        <x:v>177335</x:v>
      </x:c>
      <x:c r="N114" s="257" t="n">
        <x:v>17795</x:v>
      </x:c>
      <x:c r="O114" s="49" t="str">
        <x:v>Listed</x:v>
      </x:c>
      <x:c r="P114" s="49" t="str">
        <x:v>VEH-4859A2779E8F</x:v>
      </x:c>
      <x:c r="Q114" s="49" t="str">
        <x:v>ARPI4859A2779E8F6</x:v>
      </x:c>
      <x:c r="R114" s="249" t="n">
        <x:v>1</x:v>
      </x:c>
      <x:c r="S114" s="49" t="str">
        <x:v>Sanitized public reference data</x:v>
      </x:c>
    </x:row>
    <x:row r="115" ht="20" customHeight="1">
      <x:c r="A115" s="49" t="str">
        <x:v>GSA003-20260802-0114</x:v>
      </x:c>
      <x:c r="B115" s="49" t="str">
        <x:v>GSA-003</x:v>
      </x:c>
      <x:c r="C115" s="49" t="str">
        <x:v>Granite Used Auto Center of Merrimack</x:v>
      </x:c>
      <x:c r="D115" s="245" t="n">
        <x:v>46236</x:v>
      </x:c>
      <x:c r="E115" s="49" t="str">
        <x:v>GSA003-20260802-001</x:v>
      </x:c>
      <x:c r="F115" s="49" t="str">
        <x:v>sanitized_public_inventory_reference</x:v>
      </x:c>
      <x:c r="G115" s="49" t="str">
        <x:v>Used</x:v>
      </x:c>
      <x:c r="H115" s="249" t="n">
        <x:v>2024</x:v>
      </x:c>
      <x:c r="I115" s="49" t="str">
        <x:v>Nissan</x:v>
      </x:c>
      <x:c r="J115" s="49" t="str">
        <x:v>Sentra</x:v>
      </x:c>
      <x:c r="K115" s="49" t="str">
        <x:v>SV</x:v>
      </x:c>
      <x:c r="L115" s="49" t="str">
        <x:v>2024 Nissan Sentra SV</x:v>
      </x:c>
      <x:c r="M115" s="253"/>
      <x:c r="N115" s="257"/>
      <x:c r="O115" s="49" t="str">
        <x:v>Price not exposed</x:v>
      </x:c>
      <x:c r="P115" s="49" t="str">
        <x:v>VEH-D0414B726EDF</x:v>
      </x:c>
      <x:c r="Q115" s="49" t="str">
        <x:v>ARPID0414B726EDF3</x:v>
      </x:c>
      <x:c r="R115" s="249" t="n">
        <x:v>1</x:v>
      </x:c>
      <x:c r="S115" s="49" t="str">
        <x:v>Sanitized public reference data</x:v>
      </x:c>
    </x:row>
    <x:row r="116" ht="20" customHeight="1">
      <x:c r="A116" s="49" t="str">
        <x:v>GSA003-20260802-0115</x:v>
      </x:c>
      <x:c r="B116" s="49" t="str">
        <x:v>GSA-003</x:v>
      </x:c>
      <x:c r="C116" s="49" t="str">
        <x:v>Granite Used Auto Center of Merrimack</x:v>
      </x:c>
      <x:c r="D116" s="245" t="n">
        <x:v>46236</x:v>
      </x:c>
      <x:c r="E116" s="49" t="str">
        <x:v>GSA003-20260802-001</x:v>
      </x:c>
      <x:c r="F116" s="49" t="str">
        <x:v>sanitized_public_inventory_reference</x:v>
      </x:c>
      <x:c r="G116" s="49" t="str">
        <x:v>Used</x:v>
      </x:c>
      <x:c r="H116" s="249" t="n">
        <x:v>2022</x:v>
      </x:c>
      <x:c r="I116" s="49" t="str">
        <x:v>Subaru</x:v>
      </x:c>
      <x:c r="J116" s="49" t="str">
        <x:v>Outback</x:v>
      </x:c>
      <x:c r="K116" s="49" t="str">
        <x:v>Premium</x:v>
      </x:c>
      <x:c r="L116" s="49" t="str">
        <x:v>2022 Subaru Outback Premium</x:v>
      </x:c>
      <x:c r="M116" s="253"/>
      <x:c r="N116" s="257"/>
      <x:c r="O116" s="49" t="str">
        <x:v>Price not exposed</x:v>
      </x:c>
      <x:c r="P116" s="49" t="str">
        <x:v>VEH-6FDF3D674722</x:v>
      </x:c>
      <x:c r="Q116" s="49" t="str">
        <x:v>ARPI6FDF3D674722A</x:v>
      </x:c>
      <x:c r="R116" s="249" t="n">
        <x:v>1</x:v>
      </x:c>
      <x:c r="S116" s="49" t="str">
        <x:v>Sanitized public reference data</x:v>
      </x:c>
    </x:row>
    <x:row r="117" ht="20" customHeight="1">
      <x:c r="A117" s="49" t="str">
        <x:v>GSA003-20260802-0116</x:v>
      </x:c>
      <x:c r="B117" s="49" t="str">
        <x:v>GSA-003</x:v>
      </x:c>
      <x:c r="C117" s="49" t="str">
        <x:v>Granite Used Auto Center of Merrimack</x:v>
      </x:c>
      <x:c r="D117" s="245" t="n">
        <x:v>46236</x:v>
      </x:c>
      <x:c r="E117" s="49" t="str">
        <x:v>GSA003-20260802-001</x:v>
      </x:c>
      <x:c r="F117" s="49" t="str">
        <x:v>sanitized_public_inventory_reference</x:v>
      </x:c>
      <x:c r="G117" s="49" t="str">
        <x:v>Used</x:v>
      </x:c>
      <x:c r="H117" s="249" t="n">
        <x:v>2024</x:v>
      </x:c>
      <x:c r="I117" s="49" t="str">
        <x:v>Honda</x:v>
      </x:c>
      <x:c r="J117" s="49" t="str">
        <x:v>Civic</x:v>
      </x:c>
      <x:c r="K117" s="49" t="str">
        <x:v>Sport</x:v>
      </x:c>
      <x:c r="L117" s="49" t="str">
        <x:v>2024 Honda Civic Sport</x:v>
      </x:c>
      <x:c r="M117" s="253"/>
      <x:c r="N117" s="257"/>
      <x:c r="O117" s="49" t="str">
        <x:v>Price not exposed</x:v>
      </x:c>
      <x:c r="P117" s="49" t="str">
        <x:v>VEH-4679F88D95FE</x:v>
      </x:c>
      <x:c r="Q117" s="49" t="str">
        <x:v>ARPI4679F88D95FE4</x:v>
      </x:c>
      <x:c r="R117" s="249" t="n">
        <x:v>1</x:v>
      </x:c>
      <x:c r="S117" s="49" t="str">
        <x:v>Sanitized public reference data</x:v>
      </x:c>
    </x:row>
    <x:row r="118" ht="20" customHeight="1">
      <x:c r="A118" s="49" t="str">
        <x:v>GSA003-20260802-0117</x:v>
      </x:c>
      <x:c r="B118" s="49" t="str">
        <x:v>GSA-003</x:v>
      </x:c>
      <x:c r="C118" s="49" t="str">
        <x:v>Granite Used Auto Center of Merrimack</x:v>
      </x:c>
      <x:c r="D118" s="245" t="n">
        <x:v>46236</x:v>
      </x:c>
      <x:c r="E118" s="49" t="str">
        <x:v>GSA003-20260802-001</x:v>
      </x:c>
      <x:c r="F118" s="49" t="str">
        <x:v>sanitized_public_inventory_reference</x:v>
      </x:c>
      <x:c r="G118" s="49" t="str">
        <x:v>Used</x:v>
      </x:c>
      <x:c r="H118" s="249" t="n">
        <x:v>2018</x:v>
      </x:c>
      <x:c r="I118" s="49" t="str">
        <x:v>Ford</x:v>
      </x:c>
      <x:c r="J118" s="49" t="str">
        <x:v>F-150</x:v>
      </x:c>
      <x:c r="K118" s="49" t="str">
        <x:v>Platinum</x:v>
      </x:c>
      <x:c r="L118" s="49" t="str">
        <x:v>2018 Ford F-150 Platinum</x:v>
      </x:c>
      <x:c r="M118" s="253"/>
      <x:c r="N118" s="257"/>
      <x:c r="O118" s="49" t="str">
        <x:v>Price not exposed</x:v>
      </x:c>
      <x:c r="P118" s="49" t="str">
        <x:v>VEH-5B0401635EA7</x:v>
      </x:c>
      <x:c r="Q118" s="49" t="str">
        <x:v>ARPI5B0401635EA72</x:v>
      </x:c>
      <x:c r="R118" s="249" t="n">
        <x:v>1</x:v>
      </x:c>
      <x:c r="S118" s="49" t="str">
        <x:v>Sanitized public reference data</x:v>
      </x:c>
    </x:row>
    <x:row r="119" ht="20" customHeight="1">
      <x:c r="A119" s="49" t="str">
        <x:v>GSA003-20260802-0118</x:v>
      </x:c>
      <x:c r="B119" s="49" t="str">
        <x:v>GSA-003</x:v>
      </x:c>
      <x:c r="C119" s="49" t="str">
        <x:v>Granite Used Auto Center of Merrimack</x:v>
      </x:c>
      <x:c r="D119" s="245" t="n">
        <x:v>46236</x:v>
      </x:c>
      <x:c r="E119" s="49" t="str">
        <x:v>GSA003-20260802-001</x:v>
      </x:c>
      <x:c r="F119" s="49" t="str">
        <x:v>sanitized_public_inventory_reference</x:v>
      </x:c>
      <x:c r="G119" s="49" t="str">
        <x:v>Used</x:v>
      </x:c>
      <x:c r="H119" s="249" t="n">
        <x:v>2021</x:v>
      </x:c>
      <x:c r="I119" s="49" t="str">
        <x:v>Subaru</x:v>
      </x:c>
      <x:c r="J119" s="49" t="str">
        <x:v>Ascent</x:v>
      </x:c>
      <x:c r="K119" s="49" t="str">
        <x:v>Premium</x:v>
      </x:c>
      <x:c r="L119" s="49" t="str">
        <x:v>2021 Subaru Ascent Premium</x:v>
      </x:c>
      <x:c r="M119" s="253"/>
      <x:c r="N119" s="257"/>
      <x:c r="O119" s="49" t="str">
        <x:v>Price not exposed</x:v>
      </x:c>
      <x:c r="P119" s="49" t="str">
        <x:v>VEH-FEE092C99D62</x:v>
      </x:c>
      <x:c r="Q119" s="49" t="str">
        <x:v>ARPIFEE092C99D62E</x:v>
      </x:c>
      <x:c r="R119" s="249" t="n">
        <x:v>1</x:v>
      </x:c>
      <x:c r="S119" s="49" t="str">
        <x:v>Sanitized public reference data</x:v>
      </x:c>
    </x:row>
    <x:row r="120" ht="20" customHeight="1">
      <x:c r="A120" s="49" t="str">
        <x:v>GSA003-20260802-0119</x:v>
      </x:c>
      <x:c r="B120" s="49" t="str">
        <x:v>GSA-003</x:v>
      </x:c>
      <x:c r="C120" s="49" t="str">
        <x:v>Granite Used Auto Center of Merrimack</x:v>
      </x:c>
      <x:c r="D120" s="245" t="n">
        <x:v>46236</x:v>
      </x:c>
      <x:c r="E120" s="49" t="str">
        <x:v>GSA003-20260802-001</x:v>
      </x:c>
      <x:c r="F120" s="49" t="str">
        <x:v>sanitized_public_inventory_reference</x:v>
      </x:c>
      <x:c r="G120" s="49" t="str">
        <x:v>Used</x:v>
      </x:c>
      <x:c r="H120" s="249" t="n">
        <x:v>2019</x:v>
      </x:c>
      <x:c r="I120" s="49" t="str">
        <x:v>Ram</x:v>
      </x:c>
      <x:c r="J120" s="49" t="str">
        <x:v>1500</x:v>
      </x:c>
      <x:c r="K120" s="49" t="str">
        <x:v>Big Horn/Lone Star</x:v>
      </x:c>
      <x:c r="L120" s="49" t="str">
        <x:v>2019 Ram 1500 Big Horn/Lone Star</x:v>
      </x:c>
      <x:c r="M120" s="253"/>
      <x:c r="N120" s="257"/>
      <x:c r="O120" s="49" t="str">
        <x:v>Price not exposed</x:v>
      </x:c>
      <x:c r="P120" s="49" t="str">
        <x:v>VEH-D38C16353850</x:v>
      </x:c>
      <x:c r="Q120" s="49" t="str">
        <x:v>ARPID38C163538509</x:v>
      </x:c>
      <x:c r="R120" s="249" t="n">
        <x:v>1</x:v>
      </x:c>
      <x:c r="S120" s="49" t="str">
        <x:v>Sanitized public reference data</x:v>
      </x:c>
    </x:row>
    <x:row r="121" ht="20" customHeight="1">
      <x:c r="A121" s="49" t="str">
        <x:v>GSA003-20260802-0120</x:v>
      </x:c>
      <x:c r="B121" s="49" t="str">
        <x:v>GSA-003</x:v>
      </x:c>
      <x:c r="C121" s="49" t="str">
        <x:v>Granite Used Auto Center of Merrimack</x:v>
      </x:c>
      <x:c r="D121" s="245" t="n">
        <x:v>46236</x:v>
      </x:c>
      <x:c r="E121" s="49" t="str">
        <x:v>GSA003-20260802-001</x:v>
      </x:c>
      <x:c r="F121" s="49" t="str">
        <x:v>sanitized_public_inventory_reference</x:v>
      </x:c>
      <x:c r="G121" s="49" t="str">
        <x:v>Used</x:v>
      </x:c>
      <x:c r="H121" s="249" t="n">
        <x:v>2013</x:v>
      </x:c>
      <x:c r="I121" s="49" t="str">
        <x:v>Nissan</x:v>
      </x:c>
      <x:c r="J121" s="49" t="str">
        <x:v>Rogue</x:v>
      </x:c>
      <x:c r="K121" s="49" t="str">
        <x:v>SV</x:v>
      </x:c>
      <x:c r="L121" s="49" t="str">
        <x:v>2013 Nissan Rogue SV</x:v>
      </x:c>
      <x:c r="M121" s="253"/>
      <x:c r="N121" s="257"/>
      <x:c r="O121" s="49" t="str">
        <x:v>Price not exposed</x:v>
      </x:c>
      <x:c r="P121" s="49" t="str">
        <x:v>VEH-3AB0B7EDCFED</x:v>
      </x:c>
      <x:c r="Q121" s="49" t="str">
        <x:v>ARPI3AB0B7EDCFED5</x:v>
      </x:c>
      <x:c r="R121" s="249" t="n">
        <x:v>1</x:v>
      </x:c>
      <x:c r="S121" s="49" t="str">
        <x:v>Sanitized public reference data</x:v>
      </x:c>
    </x:row>
    <x:row r="122" ht="20" customHeight="1">
      <x:c r="A122" s="49" t="str">
        <x:v>GSA003-20260802-0121</x:v>
      </x:c>
      <x:c r="B122" s="49" t="str">
        <x:v>GSA-003</x:v>
      </x:c>
      <x:c r="C122" s="49" t="str">
        <x:v>Granite Used Auto Center of Merrimack</x:v>
      </x:c>
      <x:c r="D122" s="245" t="n">
        <x:v>46236</x:v>
      </x:c>
      <x:c r="E122" s="49" t="str">
        <x:v>GSA003-20260802-001</x:v>
      </x:c>
      <x:c r="F122" s="49" t="str">
        <x:v>sanitized_public_inventory_reference</x:v>
      </x:c>
      <x:c r="G122" s="49" t="str">
        <x:v>Used</x:v>
      </x:c>
      <x:c r="H122" s="249" t="n">
        <x:v>2021</x:v>
      </x:c>
      <x:c r="I122" s="49" t="str">
        <x:v>Honda</x:v>
      </x:c>
      <x:c r="J122" s="49" t="str">
        <x:v>Ridgeline</x:v>
      </x:c>
      <x:c r="K122" s="49" t="str">
        <x:v>Sport</x:v>
      </x:c>
      <x:c r="L122" s="49" t="str">
        <x:v>2021 Honda Ridgeline Sport</x:v>
      </x:c>
      <x:c r="M122" s="253"/>
      <x:c r="N122" s="257"/>
      <x:c r="O122" s="49" t="str">
        <x:v>Price not exposed</x:v>
      </x:c>
      <x:c r="P122" s="49" t="str">
        <x:v>VEH-815E6EDBF167</x:v>
      </x:c>
      <x:c r="Q122" s="49" t="str">
        <x:v>ARPI815E6EDBF167D</x:v>
      </x:c>
      <x:c r="R122" s="249" t="n">
        <x:v>1</x:v>
      </x:c>
      <x:c r="S122" s="49" t="str">
        <x:v>Sanitized public reference data</x:v>
      </x:c>
    </x:row>
    <x:row r="123" ht="20" customHeight="1">
      <x:c r="A123" s="49" t="str">
        <x:v>GSA003-20260802-0122</x:v>
      </x:c>
      <x:c r="B123" s="49" t="str">
        <x:v>GSA-003</x:v>
      </x:c>
      <x:c r="C123" s="49" t="str">
        <x:v>Granite Used Auto Center of Merrimack</x:v>
      </x:c>
      <x:c r="D123" s="245" t="n">
        <x:v>46236</x:v>
      </x:c>
      <x:c r="E123" s="49" t="str">
        <x:v>GSA003-20260802-001</x:v>
      </x:c>
      <x:c r="F123" s="49" t="str">
        <x:v>sanitized_public_inventory_reference</x:v>
      </x:c>
      <x:c r="G123" s="49" t="str">
        <x:v>Used</x:v>
      </x:c>
      <x:c r="H123" s="249" t="n">
        <x:v>2023</x:v>
      </x:c>
      <x:c r="I123" s="49" t="str">
        <x:v>Nissan</x:v>
      </x:c>
      <x:c r="J123" s="49" t="str">
        <x:v>Rogue</x:v>
      </x:c>
      <x:c r="K123" s="49" t="str">
        <x:v>SL</x:v>
      </x:c>
      <x:c r="L123" s="49" t="str">
        <x:v>2023 Nissan Rogue SL</x:v>
      </x:c>
      <x:c r="M123" s="253"/>
      <x:c r="N123" s="257"/>
      <x:c r="O123" s="49" t="str">
        <x:v>Price not exposed</x:v>
      </x:c>
      <x:c r="P123" s="49" t="str">
        <x:v>VEH-1EFDF8B70508</x:v>
      </x:c>
      <x:c r="Q123" s="49" t="str">
        <x:v>ARPI1EFDF8B705082</x:v>
      </x:c>
      <x:c r="R123" s="249" t="n">
        <x:v>1</x:v>
      </x:c>
      <x:c r="S123" s="49" t="str">
        <x:v>Sanitized public reference data</x:v>
      </x:c>
    </x:row>
    <x:row r="124" ht="20" customHeight="1">
      <x:c r="A124" s="49" t="str">
        <x:v>GSA003-20260802-0123</x:v>
      </x:c>
      <x:c r="B124" s="49" t="str">
        <x:v>GSA-003</x:v>
      </x:c>
      <x:c r="C124" s="49" t="str">
        <x:v>Granite Used Auto Center of Merrimack</x:v>
      </x:c>
      <x:c r="D124" s="245" t="n">
        <x:v>46236</x:v>
      </x:c>
      <x:c r="E124" s="49" t="str">
        <x:v>GSA003-20260802-001</x:v>
      </x:c>
      <x:c r="F124" s="49" t="str">
        <x:v>sanitized_public_inventory_reference</x:v>
      </x:c>
      <x:c r="G124" s="49" t="str">
        <x:v>Used</x:v>
      </x:c>
      <x:c r="H124" s="249" t="n">
        <x:v>2018</x:v>
      </x:c>
      <x:c r="I124" s="49" t="str">
        <x:v>BMW</x:v>
      </x:c>
      <x:c r="J124" s="49" t="str">
        <x:v>5 Series</x:v>
      </x:c>
      <x:c r="K124" s="49" t="str">
        <x:v>540i xDrive</x:v>
      </x:c>
      <x:c r="L124" s="49" t="str">
        <x:v>2018 BMW 5 Series 540i xDrive</x:v>
      </x:c>
      <x:c r="M124" s="253"/>
      <x:c r="N124" s="257"/>
      <x:c r="O124" s="49" t="str">
        <x:v>Price not exposed</x:v>
      </x:c>
      <x:c r="P124" s="49" t="str">
        <x:v>VEH-95C6DAC078C6</x:v>
      </x:c>
      <x:c r="Q124" s="49" t="str">
        <x:v>ARPI95C6DAC078C6B</x:v>
      </x:c>
      <x:c r="R124" s="249" t="n">
        <x:v>1</x:v>
      </x:c>
      <x:c r="S124" s="49" t="str">
        <x:v>Sanitized public reference data</x:v>
      </x:c>
    </x:row>
    <x:row r="125" ht="20" customHeight="1">
      <x:c r="A125" s="49" t="str">
        <x:v>GSA003-20260802-0124</x:v>
      </x:c>
      <x:c r="B125" s="49" t="str">
        <x:v>GSA-003</x:v>
      </x:c>
      <x:c r="C125" s="49" t="str">
        <x:v>Granite Used Auto Center of Merrimack</x:v>
      </x:c>
      <x:c r="D125" s="245" t="n">
        <x:v>46236</x:v>
      </x:c>
      <x:c r="E125" s="49" t="str">
        <x:v>GSA003-20260802-001</x:v>
      </x:c>
      <x:c r="F125" s="49" t="str">
        <x:v>sanitized_public_inventory_reference</x:v>
      </x:c>
      <x:c r="G125" s="49" t="str">
        <x:v>Used</x:v>
      </x:c>
      <x:c r="H125" s="249" t="n">
        <x:v>2016</x:v>
      </x:c>
      <x:c r="I125" s="49" t="str">
        <x:v>Toyota</x:v>
      </x:c>
      <x:c r="J125" s="49" t="str">
        <x:v>Tacoma</x:v>
      </x:c>
      <x:c r="K125" s="49" t="str">
        <x:v>SR5</x:v>
      </x:c>
      <x:c r="L125" s="49" t="str">
        <x:v>2016 Toyota Tacoma SR5</x:v>
      </x:c>
      <x:c r="M125" s="253"/>
      <x:c r="N125" s="257"/>
      <x:c r="O125" s="49" t="str">
        <x:v>Price not exposed</x:v>
      </x:c>
      <x:c r="P125" s="49" t="str">
        <x:v>VEH-FBB525C08B28</x:v>
      </x:c>
      <x:c r="Q125" s="49" t="str">
        <x:v>ARPIFBB525C08B283</x:v>
      </x:c>
      <x:c r="R125" s="249" t="n">
        <x:v>1</x:v>
      </x:c>
      <x:c r="S125" s="49" t="str">
        <x:v>Sanitized public reference data</x:v>
      </x:c>
    </x:row>
    <x:row r="126" ht="20" customHeight="1">
      <x:c r="A126" s="49" t="str">
        <x:v>GSA003-20260802-0125</x:v>
      </x:c>
      <x:c r="B126" s="49" t="str">
        <x:v>GSA-003</x:v>
      </x:c>
      <x:c r="C126" s="49" t="str">
        <x:v>Granite Used Auto Center of Merrimack</x:v>
      </x:c>
      <x:c r="D126" s="245" t="n">
        <x:v>46236</x:v>
      </x:c>
      <x:c r="E126" s="49" t="str">
        <x:v>GSA003-20260802-001</x:v>
      </x:c>
      <x:c r="F126" s="49" t="str">
        <x:v>sanitized_public_inventory_reference</x:v>
      </x:c>
      <x:c r="G126" s="49" t="str">
        <x:v>Used</x:v>
      </x:c>
      <x:c r="H126" s="249" t="n">
        <x:v>2022</x:v>
      </x:c>
      <x:c r="I126" s="49" t="str">
        <x:v>Mitsubishi</x:v>
      </x:c>
      <x:c r="J126" s="49" t="str">
        <x:v>Outlander</x:v>
      </x:c>
      <x:c r="K126" s="49" t="str">
        <x:v>SE</x:v>
      </x:c>
      <x:c r="L126" s="49" t="str">
        <x:v>2022 Mitsubishi Outlander SE</x:v>
      </x:c>
      <x:c r="M126" s="253"/>
      <x:c r="N126" s="257"/>
      <x:c r="O126" s="49" t="str">
        <x:v>Price not exposed</x:v>
      </x:c>
      <x:c r="P126" s="49" t="str">
        <x:v>VEH-C6D3232FCFF6</x:v>
      </x:c>
      <x:c r="Q126" s="49" t="str">
        <x:v>ARPIC6D3232FCFF6D</x:v>
      </x:c>
      <x:c r="R126" s="249" t="n">
        <x:v>1</x:v>
      </x:c>
      <x:c r="S126" s="49" t="str">
        <x:v>Sanitized public reference data</x:v>
      </x:c>
    </x:row>
    <x:row r="127" ht="20" customHeight="1">
      <x:c r="A127" s="49" t="str">
        <x:v>GSA003-20260802-0126</x:v>
      </x:c>
      <x:c r="B127" s="49" t="str">
        <x:v>GSA-003</x:v>
      </x:c>
      <x:c r="C127" s="49" t="str">
        <x:v>Granite Used Auto Center of Merrimack</x:v>
      </x:c>
      <x:c r="D127" s="245" t="n">
        <x:v>46236</x:v>
      </x:c>
      <x:c r="E127" s="49" t="str">
        <x:v>GSA003-20260802-001</x:v>
      </x:c>
      <x:c r="F127" s="49" t="str">
        <x:v>sanitized_public_inventory_reference</x:v>
      </x:c>
      <x:c r="G127" s="49" t="str">
        <x:v>Used</x:v>
      </x:c>
      <x:c r="H127" s="249" t="n">
        <x:v>2019</x:v>
      </x:c>
      <x:c r="I127" s="49" t="str">
        <x:v>Ram</x:v>
      </x:c>
      <x:c r="J127" s="49" t="str">
        <x:v>1500 Classic</x:v>
      </x:c>
      <x:c r="K127" s="49" t="str">
        <x:v>Express</x:v>
      </x:c>
      <x:c r="L127" s="49" t="str">
        <x:v>2019 Ram 1500 Classic Express</x:v>
      </x:c>
      <x:c r="M127" s="253"/>
      <x:c r="N127" s="257"/>
      <x:c r="O127" s="49" t="str">
        <x:v>Price not exposed</x:v>
      </x:c>
      <x:c r="P127" s="49" t="str">
        <x:v>VEH-11920A8B92E5</x:v>
      </x:c>
      <x:c r="Q127" s="49" t="str">
        <x:v>ARPI11920A8B92E58</x:v>
      </x:c>
      <x:c r="R127" s="249" t="n">
        <x:v>1</x:v>
      </x:c>
      <x:c r="S127" s="49" t="str">
        <x:v>Sanitized public reference data</x:v>
      </x:c>
    </x:row>
    <x:row r="128" ht="20" customHeight="1">
      <x:c r="A128" s="49" t="str">
        <x:v>GSA003-20260802-0127</x:v>
      </x:c>
      <x:c r="B128" s="49" t="str">
        <x:v>GSA-003</x:v>
      </x:c>
      <x:c r="C128" s="49" t="str">
        <x:v>Granite Used Auto Center of Merrimack</x:v>
      </x:c>
      <x:c r="D128" s="245" t="n">
        <x:v>46236</x:v>
      </x:c>
      <x:c r="E128" s="49" t="str">
        <x:v>GSA003-20260802-001</x:v>
      </x:c>
      <x:c r="F128" s="49" t="str">
        <x:v>sanitized_public_inventory_reference</x:v>
      </x:c>
      <x:c r="G128" s="49" t="str">
        <x:v>Used</x:v>
      </x:c>
      <x:c r="H128" s="249" t="n">
        <x:v>2019</x:v>
      </x:c>
      <x:c r="I128" s="49" t="str">
        <x:v>Ford</x:v>
      </x:c>
      <x:c r="J128" s="49" t="str">
        <x:v>Ranger</x:v>
      </x:c>
      <x:c r="K128" s="49" t="str">
        <x:v>XLT</x:v>
      </x:c>
      <x:c r="L128" s="49" t="str">
        <x:v>2019 Ford Ranger XLT</x:v>
      </x:c>
      <x:c r="M128" s="253"/>
      <x:c r="N128" s="257"/>
      <x:c r="O128" s="49" t="str">
        <x:v>Price not exposed</x:v>
      </x:c>
      <x:c r="P128" s="49" t="str">
        <x:v>VEH-80F8F7384C75</x:v>
      </x:c>
      <x:c r="Q128" s="49" t="str">
        <x:v>ARPI80F8F7384C757</x:v>
      </x:c>
      <x:c r="R128" s="249" t="n">
        <x:v>1</x:v>
      </x:c>
      <x:c r="S128" s="49" t="str">
        <x:v>Sanitized public reference data</x:v>
      </x:c>
    </x:row>
    <x:row r="129" ht="20" customHeight="1">
      <x:c r="A129" s="49" t="str">
        <x:v>GSA003-20260802-0128</x:v>
      </x:c>
      <x:c r="B129" s="49" t="str">
        <x:v>GSA-003</x:v>
      </x:c>
      <x:c r="C129" s="49" t="str">
        <x:v>Granite Used Auto Center of Merrimack</x:v>
      </x:c>
      <x:c r="D129" s="245" t="n">
        <x:v>46236</x:v>
      </x:c>
      <x:c r="E129" s="49" t="str">
        <x:v>GSA003-20260802-001</x:v>
      </x:c>
      <x:c r="F129" s="49" t="str">
        <x:v>sanitized_public_inventory_reference</x:v>
      </x:c>
      <x:c r="G129" s="49" t="str">
        <x:v>Used</x:v>
      </x:c>
      <x:c r="H129" s="249" t="n">
        <x:v>2021</x:v>
      </x:c>
      <x:c r="I129" s="49" t="str">
        <x:v>Jeep</x:v>
      </x:c>
      <x:c r="J129" s="49" t="str">
        <x:v>Wrangler Unlimited</x:v>
      </x:c>
      <x:c r="K129" s="49" t="str">
        <x:v>Sahara High Altitude</x:v>
      </x:c>
      <x:c r="L129" s="49" t="str">
        <x:v>2021 Jeep Wrangler Unlimited Sahara High Altitude</x:v>
      </x:c>
      <x:c r="M129" s="253"/>
      <x:c r="N129" s="257"/>
      <x:c r="O129" s="49" t="str">
        <x:v>Price not exposed</x:v>
      </x:c>
      <x:c r="P129" s="49" t="str">
        <x:v>VEH-F2F7B067E1F0</x:v>
      </x:c>
      <x:c r="Q129" s="49" t="str">
        <x:v>ARPIF2F7B067E1F03</x:v>
      </x:c>
      <x:c r="R129" s="249" t="n">
        <x:v>1</x:v>
      </x:c>
      <x:c r="S129" s="49" t="str">
        <x:v>Sanitized public reference data</x:v>
      </x:c>
    </x:row>
    <x:row r="130" ht="20" customHeight="1">
      <x:c r="A130" s="49" t="str">
        <x:v>GSA003-20260802-0129</x:v>
      </x:c>
      <x:c r="B130" s="49" t="str">
        <x:v>GSA-003</x:v>
      </x:c>
      <x:c r="C130" s="49" t="str">
        <x:v>Granite Used Auto Center of Merrimack</x:v>
      </x:c>
      <x:c r="D130" s="245" t="n">
        <x:v>46236</x:v>
      </x:c>
      <x:c r="E130" s="49" t="str">
        <x:v>GSA003-20260802-001</x:v>
      </x:c>
      <x:c r="F130" s="49" t="str">
        <x:v>sanitized_public_inventory_reference</x:v>
      </x:c>
      <x:c r="G130" s="49" t="str">
        <x:v>Used</x:v>
      </x:c>
      <x:c r="H130" s="249" t="n">
        <x:v>2021</x:v>
      </x:c>
      <x:c r="I130" s="49" t="str">
        <x:v>BMW</x:v>
      </x:c>
      <x:c r="J130" s="49" t="str">
        <x:v>X3</x:v>
      </x:c>
      <x:c r="K130" s="49" t="str">
        <x:v>xDrive30i</x:v>
      </x:c>
      <x:c r="L130" s="49" t="str">
        <x:v>2021 BMW X3 xDrive30i</x:v>
      </x:c>
      <x:c r="M130" s="253"/>
      <x:c r="N130" s="257"/>
      <x:c r="O130" s="49" t="str">
        <x:v>Price not exposed</x:v>
      </x:c>
      <x:c r="P130" s="49" t="str">
        <x:v>VEH-8DAB91E14346</x:v>
      </x:c>
      <x:c r="Q130" s="49" t="str">
        <x:v>ARPI8DAB91E143465</x:v>
      </x:c>
      <x:c r="R130" s="249" t="n">
        <x:v>1</x:v>
      </x:c>
      <x:c r="S130" s="49" t="str">
        <x:v>Sanitized public reference data</x:v>
      </x:c>
    </x:row>
    <x:row r="131" ht="20" customHeight="1">
      <x:c r="A131" s="49" t="str">
        <x:v>GSA003-20260802-0130</x:v>
      </x:c>
      <x:c r="B131" s="49" t="str">
        <x:v>GSA-003</x:v>
      </x:c>
      <x:c r="C131" s="49" t="str">
        <x:v>Granite Used Auto Center of Merrimack</x:v>
      </x:c>
      <x:c r="D131" s="245" t="n">
        <x:v>46236</x:v>
      </x:c>
      <x:c r="E131" s="49" t="str">
        <x:v>GSA003-20260802-001</x:v>
      </x:c>
      <x:c r="F131" s="49" t="str">
        <x:v>sanitized_public_inventory_reference</x:v>
      </x:c>
      <x:c r="G131" s="49" t="str">
        <x:v>Used</x:v>
      </x:c>
      <x:c r="H131" s="249" t="n">
        <x:v>2012</x:v>
      </x:c>
      <x:c r="I131" s="49" t="str">
        <x:v>BMW</x:v>
      </x:c>
      <x:c r="J131" s="49" t="str">
        <x:v>5 Series</x:v>
      </x:c>
      <x:c r="K131" s="49" t="str">
        <x:v>535i xDrive</x:v>
      </x:c>
      <x:c r="L131" s="49" t="str">
        <x:v>2012 BMW 5 Series 535i xDrive</x:v>
      </x:c>
      <x:c r="M131" s="253"/>
      <x:c r="N131" s="257"/>
      <x:c r="O131" s="49" t="str">
        <x:v>Price not exposed</x:v>
      </x:c>
      <x:c r="P131" s="49" t="str">
        <x:v>VEH-1982FECAFEEC</x:v>
      </x:c>
      <x:c r="Q131" s="49" t="str">
        <x:v>ARPI1982FECAFEECB</x:v>
      </x:c>
      <x:c r="R131" s="249" t="n">
        <x:v>1</x:v>
      </x:c>
      <x:c r="S131" s="49" t="str">
        <x:v>Sanitized public reference data</x:v>
      </x:c>
    </x:row>
    <x:row r="132" ht="20" customHeight="1">
      <x:c r="A132" s="49" t="str">
        <x:v>GSA003-20260802-0131</x:v>
      </x:c>
      <x:c r="B132" s="49" t="str">
        <x:v>GSA-003</x:v>
      </x:c>
      <x:c r="C132" s="49" t="str">
        <x:v>Granite Used Auto Center of Merrimack</x:v>
      </x:c>
      <x:c r="D132" s="245" t="n">
        <x:v>46236</x:v>
      </x:c>
      <x:c r="E132" s="49" t="str">
        <x:v>GSA003-20260802-001</x:v>
      </x:c>
      <x:c r="F132" s="49" t="str">
        <x:v>sanitized_public_inventory_reference</x:v>
      </x:c>
      <x:c r="G132" s="49" t="str">
        <x:v>Used</x:v>
      </x:c>
      <x:c r="H132" s="249" t="n">
        <x:v>2021</x:v>
      </x:c>
      <x:c r="I132" s="49" t="str">
        <x:v>Jeep</x:v>
      </x:c>
      <x:c r="J132" s="49" t="str">
        <x:v>Grand Cherokee</x:v>
      </x:c>
      <x:c r="K132" s="49" t="str">
        <x:v>Limited</x:v>
      </x:c>
      <x:c r="L132" s="49" t="str">
        <x:v>2021 Jeep Grand Cherokee Limited</x:v>
      </x:c>
      <x:c r="M132" s="253"/>
      <x:c r="N132" s="257"/>
      <x:c r="O132" s="49" t="str">
        <x:v>Price not exposed</x:v>
      </x:c>
      <x:c r="P132" s="49" t="str">
        <x:v>VEH-15A8AE3C2A93</x:v>
      </x:c>
      <x:c r="Q132" s="49" t="str">
        <x:v>ARPI15A8AE3C2A93B</x:v>
      </x:c>
      <x:c r="R132" s="249" t="n">
        <x:v>1</x:v>
      </x:c>
      <x:c r="S132" s="49" t="str">
        <x:v>Sanitized public reference data</x:v>
      </x:c>
    </x:row>
    <x:row r="133" ht="20" customHeight="1">
      <x:c r="A133" s="49" t="str">
        <x:v>GSA003-20260802-0132</x:v>
      </x:c>
      <x:c r="B133" s="49" t="str">
        <x:v>GSA-003</x:v>
      </x:c>
      <x:c r="C133" s="49" t="str">
        <x:v>Granite Used Auto Center of Merrimack</x:v>
      </x:c>
      <x:c r="D133" s="245" t="n">
        <x:v>46236</x:v>
      </x:c>
      <x:c r="E133" s="49" t="str">
        <x:v>GSA003-20260802-001</x:v>
      </x:c>
      <x:c r="F133" s="49" t="str">
        <x:v>sanitized_public_inventory_reference</x:v>
      </x:c>
      <x:c r="G133" s="49" t="str">
        <x:v>Used</x:v>
      </x:c>
      <x:c r="H133" s="249" t="n">
        <x:v>2022</x:v>
      </x:c>
      <x:c r="I133" s="49" t="str">
        <x:v>Jeep</x:v>
      </x:c>
      <x:c r="J133" s="49" t="str">
        <x:v>Compass</x:v>
      </x:c>
      <x:c r="K133" s="49" t="str">
        <x:v>Limited</x:v>
      </x:c>
      <x:c r="L133" s="49" t="str">
        <x:v>2022 Jeep Compass Limited</x:v>
      </x:c>
      <x:c r="M133" s="253" t="n">
        <x:v>81222</x:v>
      </x:c>
      <x:c r="N133" s="257" t="n">
        <x:v>18395</x:v>
      </x:c>
      <x:c r="O133" s="49" t="str">
        <x:v>Listed</x:v>
      </x:c>
      <x:c r="P133" s="49" t="str">
        <x:v>VEH-8203D41B5558</x:v>
      </x:c>
      <x:c r="Q133" s="49" t="str">
        <x:v>ARPI8203D41B55588</x:v>
      </x:c>
      <x:c r="R133" s="249" t="n">
        <x:v>1</x:v>
      </x:c>
      <x:c r="S133" s="49" t="str">
        <x:v>Sanitized public reference data</x:v>
      </x:c>
    </x:row>
    <x:row r="134" ht="20" customHeight="1">
      <x:c r="A134" s="49" t="str">
        <x:v>GSA003-20260802-0133</x:v>
      </x:c>
      <x:c r="B134" s="49" t="str">
        <x:v>GSA-003</x:v>
      </x:c>
      <x:c r="C134" s="49" t="str">
        <x:v>Granite Used Auto Center of Merrimack</x:v>
      </x:c>
      <x:c r="D134" s="245" t="n">
        <x:v>46236</x:v>
      </x:c>
      <x:c r="E134" s="49" t="str">
        <x:v>GSA003-20260802-001</x:v>
      </x:c>
      <x:c r="F134" s="49" t="str">
        <x:v>sanitized_public_inventory_reference</x:v>
      </x:c>
      <x:c r="G134" s="49" t="str">
        <x:v>Used</x:v>
      </x:c>
      <x:c r="H134" s="249" t="n">
        <x:v>2019</x:v>
      </x:c>
      <x:c r="I134" s="49" t="str">
        <x:v>Toyota</x:v>
      </x:c>
      <x:c r="J134" s="49" t="str">
        <x:v>Tacoma</x:v>
      </x:c>
      <x:c r="K134" s="49" t="str">
        <x:v>TRD Sport</x:v>
      </x:c>
      <x:c r="L134" s="49" t="str">
        <x:v>2019 Toyota Tacoma TRD Sport</x:v>
      </x:c>
      <x:c r="M134" s="253"/>
      <x:c r="N134" s="257"/>
      <x:c r="O134" s="49" t="str">
        <x:v>Price not exposed</x:v>
      </x:c>
      <x:c r="P134" s="49" t="str">
        <x:v>VEH-74E5F90BF5A3</x:v>
      </x:c>
      <x:c r="Q134" s="49" t="str">
        <x:v>ARPI74E5F90BF5A3D</x:v>
      </x:c>
      <x:c r="R134" s="249" t="n">
        <x:v>1</x:v>
      </x:c>
      <x:c r="S134" s="49" t="str">
        <x:v>Sanitized public reference data</x:v>
      </x:c>
    </x:row>
    <x:row r="135" ht="20" customHeight="1">
      <x:c r="A135" s="49" t="str">
        <x:v>GSA003-20260802-0134</x:v>
      </x:c>
      <x:c r="B135" s="49" t="str">
        <x:v>GSA-003</x:v>
      </x:c>
      <x:c r="C135" s="49" t="str">
        <x:v>Granite Used Auto Center of Merrimack</x:v>
      </x:c>
      <x:c r="D135" s="245" t="n">
        <x:v>46236</x:v>
      </x:c>
      <x:c r="E135" s="49" t="str">
        <x:v>GSA003-20260802-001</x:v>
      </x:c>
      <x:c r="F135" s="49" t="str">
        <x:v>sanitized_public_inventory_reference</x:v>
      </x:c>
      <x:c r="G135" s="49" t="str">
        <x:v>Used</x:v>
      </x:c>
      <x:c r="H135" s="249" t="n">
        <x:v>2021</x:v>
      </x:c>
      <x:c r="I135" s="49" t="str">
        <x:v>Chevrolet</x:v>
      </x:c>
      <x:c r="J135" s="49" t="str">
        <x:v>Silverado 1500</x:v>
      </x:c>
      <x:c r="K135" s="49" t="str">
        <x:v>LT</x:v>
      </x:c>
      <x:c r="L135" s="49" t="str">
        <x:v>2021 Chevrolet Silverado 1500 LT</x:v>
      </x:c>
      <x:c r="M135" s="253"/>
      <x:c r="N135" s="257"/>
      <x:c r="O135" s="49" t="str">
        <x:v>Price not exposed</x:v>
      </x:c>
      <x:c r="P135" s="49" t="str">
        <x:v>VEH-01F49751BC32</x:v>
      </x:c>
      <x:c r="Q135" s="49" t="str">
        <x:v>ARPI01F49751BC320</x:v>
      </x:c>
      <x:c r="R135" s="249" t="n">
        <x:v>1</x:v>
      </x:c>
      <x:c r="S135" s="49" t="str">
        <x:v>Sanitized public reference data</x:v>
      </x:c>
    </x:row>
    <x:row r="136" ht="20" customHeight="1">
      <x:c r="A136" s="49" t="str">
        <x:v>GSA003-20260802-0135</x:v>
      </x:c>
      <x:c r="B136" s="49" t="str">
        <x:v>GSA-003</x:v>
      </x:c>
      <x:c r="C136" s="49" t="str">
        <x:v>Granite Used Auto Center of Merrimack</x:v>
      </x:c>
      <x:c r="D136" s="245" t="n">
        <x:v>46236</x:v>
      </x:c>
      <x:c r="E136" s="49" t="str">
        <x:v>GSA003-20260802-001</x:v>
      </x:c>
      <x:c r="F136" s="49" t="str">
        <x:v>sanitized_public_inventory_reference</x:v>
      </x:c>
      <x:c r="G136" s="49" t="str">
        <x:v>Used</x:v>
      </x:c>
      <x:c r="H136" s="249" t="n">
        <x:v>2015</x:v>
      </x:c>
      <x:c r="I136" s="49" t="str">
        <x:v>Volvo</x:v>
      </x:c>
      <x:c r="J136" s="49" t="str">
        <x:v>V60 Cross Country</x:v>
      </x:c>
      <x:c r="K136" s="49" t="str">
        <x:v>T5</x:v>
      </x:c>
      <x:c r="L136" s="49" t="str">
        <x:v>2015 Volvo V60 Cross Country T5</x:v>
      </x:c>
      <x:c r="M136" s="253"/>
      <x:c r="N136" s="257"/>
      <x:c r="O136" s="49" t="str">
        <x:v>Price not exposed</x:v>
      </x:c>
      <x:c r="P136" s="49" t="str">
        <x:v>VEH-CC4C452C393B</x:v>
      </x:c>
      <x:c r="Q136" s="49" t="str">
        <x:v>ARPICC4C452C393BE</x:v>
      </x:c>
      <x:c r="R136" s="249" t="n">
        <x:v>1</x:v>
      </x:c>
      <x:c r="S136" s="49" t="str">
        <x:v>Sanitized public reference data</x:v>
      </x:c>
    </x:row>
    <x:row r="137" ht="20" customHeight="1">
      <x:c r="A137" s="49" t="str">
        <x:v>GSA003-20260802-0136</x:v>
      </x:c>
      <x:c r="B137" s="49" t="str">
        <x:v>GSA-003</x:v>
      </x:c>
      <x:c r="C137" s="49" t="str">
        <x:v>Granite Used Auto Center of Merrimack</x:v>
      </x:c>
      <x:c r="D137" s="245" t="n">
        <x:v>46236</x:v>
      </x:c>
      <x:c r="E137" s="49" t="str">
        <x:v>GSA003-20260802-001</x:v>
      </x:c>
      <x:c r="F137" s="49" t="str">
        <x:v>sanitized_public_inventory_reference</x:v>
      </x:c>
      <x:c r="G137" s="49" t="str">
        <x:v>Used</x:v>
      </x:c>
      <x:c r="H137" s="249" t="n">
        <x:v>2019</x:v>
      </x:c>
      <x:c r="I137" s="49" t="str">
        <x:v>Ram</x:v>
      </x:c>
      <x:c r="J137" s="49" t="str">
        <x:v>1500 Classic</x:v>
      </x:c>
      <x:c r="K137" s="49" t="str">
        <x:v>SLT</x:v>
      </x:c>
      <x:c r="L137" s="49" t="str">
        <x:v>2019 Ram 1500 Classic SLT</x:v>
      </x:c>
      <x:c r="M137" s="253"/>
      <x:c r="N137" s="257"/>
      <x:c r="O137" s="49" t="str">
        <x:v>Price not exposed</x:v>
      </x:c>
      <x:c r="P137" s="49" t="str">
        <x:v>VEH-9166B523FCA8</x:v>
      </x:c>
      <x:c r="Q137" s="49" t="str">
        <x:v>ARPI9166B523FCA8B</x:v>
      </x:c>
      <x:c r="R137" s="249" t="n">
        <x:v>1</x:v>
      </x:c>
      <x:c r="S137" s="49" t="str">
        <x:v>Sanitized public reference data</x:v>
      </x:c>
    </x:row>
    <x:row r="138" ht="20" customHeight="1">
      <x:c r="A138" s="49" t="str">
        <x:v>GSA003-20260802-0137</x:v>
      </x:c>
      <x:c r="B138" s="49" t="str">
        <x:v>GSA-003</x:v>
      </x:c>
      <x:c r="C138" s="49" t="str">
        <x:v>Granite Used Auto Center of Merrimack</x:v>
      </x:c>
      <x:c r="D138" s="245" t="n">
        <x:v>46236</x:v>
      </x:c>
      <x:c r="E138" s="49" t="str">
        <x:v>GSA003-20260802-001</x:v>
      </x:c>
      <x:c r="F138" s="49" t="str">
        <x:v>sanitized_public_inventory_reference</x:v>
      </x:c>
      <x:c r="G138" s="49" t="str">
        <x:v>Used</x:v>
      </x:c>
      <x:c r="H138" s="249" t="n">
        <x:v>2017</x:v>
      </x:c>
      <x:c r="I138" s="49" t="str">
        <x:v>Ram</x:v>
      </x:c>
      <x:c r="J138" s="49" t="str">
        <x:v>1500</x:v>
      </x:c>
      <x:c r="K138" s="49" t="str">
        <x:v>Rebel</x:v>
      </x:c>
      <x:c r="L138" s="49" t="str">
        <x:v>2017 Ram 1500 Rebel</x:v>
      </x:c>
      <x:c r="M138" s="253"/>
      <x:c r="N138" s="257"/>
      <x:c r="O138" s="49" t="str">
        <x:v>Price not exposed</x:v>
      </x:c>
      <x:c r="P138" s="49" t="str">
        <x:v>VEH-160231BACEBA</x:v>
      </x:c>
      <x:c r="Q138" s="49" t="str">
        <x:v>ARPI160231BACEBAF</x:v>
      </x:c>
      <x:c r="R138" s="249" t="n">
        <x:v>1</x:v>
      </x:c>
      <x:c r="S138" s="49" t="str">
        <x:v>Sanitized public reference data</x:v>
      </x:c>
    </x:row>
    <x:row r="139" ht="20" customHeight="1">
      <x:c r="A139" s="49" t="str">
        <x:v>GSA003-20260802-0138</x:v>
      </x:c>
      <x:c r="B139" s="49" t="str">
        <x:v>GSA-003</x:v>
      </x:c>
      <x:c r="C139" s="49" t="str">
        <x:v>Granite Used Auto Center of Merrimack</x:v>
      </x:c>
      <x:c r="D139" s="245" t="n">
        <x:v>46236</x:v>
      </x:c>
      <x:c r="E139" s="49" t="str">
        <x:v>GSA003-20260802-001</x:v>
      </x:c>
      <x:c r="F139" s="49" t="str">
        <x:v>sanitized_public_inventory_reference</x:v>
      </x:c>
      <x:c r="G139" s="49" t="str">
        <x:v>Used</x:v>
      </x:c>
      <x:c r="H139" s="249" t="n">
        <x:v>2022</x:v>
      </x:c>
      <x:c r="I139" s="49" t="str">
        <x:v>Nissan</x:v>
      </x:c>
      <x:c r="J139" s="49" t="str">
        <x:v>Rogue</x:v>
      </x:c>
      <x:c r="K139" s="49" t="str">
        <x:v>Platinum</x:v>
      </x:c>
      <x:c r="L139" s="49" t="str">
        <x:v>2022 Nissan Rogue Platinum</x:v>
      </x:c>
      <x:c r="M139" s="253"/>
      <x:c r="N139" s="257"/>
      <x:c r="O139" s="49" t="str">
        <x:v>Price not exposed</x:v>
      </x:c>
      <x:c r="P139" s="49" t="str">
        <x:v>VEH-B35744DD9403</x:v>
      </x:c>
      <x:c r="Q139" s="49" t="str">
        <x:v>ARPIB35744DD94033</x:v>
      </x:c>
      <x:c r="R139" s="249" t="n">
        <x:v>1</x:v>
      </x:c>
      <x:c r="S139" s="49" t="str">
        <x:v>Sanitized public reference data</x:v>
      </x:c>
    </x:row>
    <x:row r="140" ht="20" customHeight="1">
      <x:c r="A140" s="49" t="str">
        <x:v>GSA003-20260802-0139</x:v>
      </x:c>
      <x:c r="B140" s="49" t="str">
        <x:v>GSA-003</x:v>
      </x:c>
      <x:c r="C140" s="49" t="str">
        <x:v>Granite Used Auto Center of Merrimack</x:v>
      </x:c>
      <x:c r="D140" s="245" t="n">
        <x:v>46236</x:v>
      </x:c>
      <x:c r="E140" s="49" t="str">
        <x:v>GSA003-20260802-001</x:v>
      </x:c>
      <x:c r="F140" s="49" t="str">
        <x:v>sanitized_public_inventory_reference</x:v>
      </x:c>
      <x:c r="G140" s="49" t="str">
        <x:v>Used</x:v>
      </x:c>
      <x:c r="H140" s="249" t="n">
        <x:v>2022</x:v>
      </x:c>
      <x:c r="I140" s="49" t="str">
        <x:v>Ram</x:v>
      </x:c>
      <x:c r="J140" s="49" t="str">
        <x:v>1500 Classic</x:v>
      </x:c>
      <x:c r="K140" s="49" t="str">
        <x:v>Warlock</x:v>
      </x:c>
      <x:c r="L140" s="49" t="str">
        <x:v>2022 Ram 1500 Classic Warlock</x:v>
      </x:c>
      <x:c r="M140" s="253"/>
      <x:c r="N140" s="257"/>
      <x:c r="O140" s="49" t="str">
        <x:v>Price not exposed</x:v>
      </x:c>
      <x:c r="P140" s="49" t="str">
        <x:v>VEH-A2313B779BC5</x:v>
      </x:c>
      <x:c r="Q140" s="49" t="str">
        <x:v>ARPIA2313B779BC56</x:v>
      </x:c>
      <x:c r="R140" s="249" t="n">
        <x:v>1</x:v>
      </x:c>
      <x:c r="S140" s="49" t="str">
        <x:v>Sanitized public reference data</x:v>
      </x:c>
    </x:row>
    <x:row r="141" ht="20" customHeight="1">
      <x:c r="A141" s="49" t="str">
        <x:v>GSA003-20260802-0140</x:v>
      </x:c>
      <x:c r="B141" s="49" t="str">
        <x:v>GSA-003</x:v>
      </x:c>
      <x:c r="C141" s="49" t="str">
        <x:v>Granite Used Auto Center of Merrimack</x:v>
      </x:c>
      <x:c r="D141" s="245" t="n">
        <x:v>46236</x:v>
      </x:c>
      <x:c r="E141" s="49" t="str">
        <x:v>GSA003-20260802-001</x:v>
      </x:c>
      <x:c r="F141" s="49" t="str">
        <x:v>sanitized_public_inventory_reference</x:v>
      </x:c>
      <x:c r="G141" s="49" t="str">
        <x:v>Used</x:v>
      </x:c>
      <x:c r="H141" s="249" t="n">
        <x:v>2023</x:v>
      </x:c>
      <x:c r="I141" s="49" t="str">
        <x:v>Jeep</x:v>
      </x:c>
      <x:c r="J141" s="49" t="str">
        <x:v>Grand Cherokee</x:v>
      </x:c>
      <x:c r="K141" s="49" t="str">
        <x:v>Laredo</x:v>
      </x:c>
      <x:c r="L141" s="49" t="str">
        <x:v>2023 Jeep Grand Cherokee Laredo</x:v>
      </x:c>
      <x:c r="M141" s="253"/>
      <x:c r="N141" s="257"/>
      <x:c r="O141" s="49" t="str">
        <x:v>Price not exposed</x:v>
      </x:c>
      <x:c r="P141" s="49" t="str">
        <x:v>VEH-BD3EC6289551</x:v>
      </x:c>
      <x:c r="Q141" s="49" t="str">
        <x:v>ARPIBD3EC62895515</x:v>
      </x:c>
      <x:c r="R141" s="249" t="n">
        <x:v>1</x:v>
      </x:c>
      <x:c r="S141" s="49" t="str">
        <x:v>Sanitized public reference data</x:v>
      </x:c>
    </x:row>
    <x:row r="142" ht="20" customHeight="1">
      <x:c r="A142" s="49" t="str">
        <x:v>GSA003-20260802-0141</x:v>
      </x:c>
      <x:c r="B142" s="49" t="str">
        <x:v>GSA-003</x:v>
      </x:c>
      <x:c r="C142" s="49" t="str">
        <x:v>Granite Used Auto Center of Merrimack</x:v>
      </x:c>
      <x:c r="D142" s="245" t="n">
        <x:v>46236</x:v>
      </x:c>
      <x:c r="E142" s="49" t="str">
        <x:v>GSA003-20260802-001</x:v>
      </x:c>
      <x:c r="F142" s="49" t="str">
        <x:v>sanitized_public_inventory_reference</x:v>
      </x:c>
      <x:c r="G142" s="49" t="str">
        <x:v>Used</x:v>
      </x:c>
      <x:c r="H142" s="249" t="n">
        <x:v>2023</x:v>
      </x:c>
      <x:c r="I142" s="49" t="str">
        <x:v>Nissan</x:v>
      </x:c>
      <x:c r="J142" s="49" t="str">
        <x:v>Rogue</x:v>
      </x:c>
      <x:c r="K142" s="49" t="str">
        <x:v>SL</x:v>
      </x:c>
      <x:c r="L142" s="49" t="str">
        <x:v>2023 Nissan Rogue SL</x:v>
      </x:c>
      <x:c r="M142" s="253" t="n">
        <x:v>51949</x:v>
      </x:c>
      <x:c r="N142" s="257" t="n">
        <x:v>23295</x:v>
      </x:c>
      <x:c r="O142" s="49" t="str">
        <x:v>Listed</x:v>
      </x:c>
      <x:c r="P142" s="49" t="str">
        <x:v>VEH-E74D9D5CEC90</x:v>
      </x:c>
      <x:c r="Q142" s="49" t="str">
        <x:v>ARPIE74D9D5CEC90B</x:v>
      </x:c>
      <x:c r="R142" s="249" t="n">
        <x:v>1</x:v>
      </x:c>
      <x:c r="S142" s="49" t="str">
        <x:v>Sanitized public reference data</x:v>
      </x:c>
    </x:row>
    <x:row r="143" ht="20" customHeight="1">
      <x:c r="A143" s="49" t="str">
        <x:v>GSA003-20260802-0142</x:v>
      </x:c>
      <x:c r="B143" s="49" t="str">
        <x:v>GSA-003</x:v>
      </x:c>
      <x:c r="C143" s="49" t="str">
        <x:v>Granite Used Auto Center of Merrimack</x:v>
      </x:c>
      <x:c r="D143" s="245" t="n">
        <x:v>46236</x:v>
      </x:c>
      <x:c r="E143" s="49" t="str">
        <x:v>GSA003-20260802-001</x:v>
      </x:c>
      <x:c r="F143" s="49" t="str">
        <x:v>sanitized_public_inventory_reference</x:v>
      </x:c>
      <x:c r="G143" s="49" t="str">
        <x:v>Used</x:v>
      </x:c>
      <x:c r="H143" s="249" t="n">
        <x:v>2014</x:v>
      </x:c>
      <x:c r="I143" s="49" t="str">
        <x:v>Nissan</x:v>
      </x:c>
      <x:c r="J143" s="49" t="str">
        <x:v>Rogue</x:v>
      </x:c>
      <x:c r="K143" s="49" t="str">
        <x:v>SL</x:v>
      </x:c>
      <x:c r="L143" s="49" t="str">
        <x:v>2014 Nissan Rogue SL</x:v>
      </x:c>
      <x:c r="M143" s="253"/>
      <x:c r="N143" s="257"/>
      <x:c r="O143" s="49" t="str">
        <x:v>Price not exposed</x:v>
      </x:c>
      <x:c r="P143" s="49" t="str">
        <x:v>VEH-339E6AB8C544</x:v>
      </x:c>
      <x:c r="Q143" s="49" t="str">
        <x:v>ARPI339E6AB8C5449</x:v>
      </x:c>
      <x:c r="R143" s="249" t="n">
        <x:v>1</x:v>
      </x:c>
      <x:c r="S143" s="49" t="str">
        <x:v>Sanitized public reference data</x:v>
      </x:c>
    </x:row>
    <x:row r="144" ht="20" customHeight="1">
      <x:c r="A144" s="49" t="str">
        <x:v>GSA003-20260802-0143</x:v>
      </x:c>
      <x:c r="B144" s="49" t="str">
        <x:v>GSA-003</x:v>
      </x:c>
      <x:c r="C144" s="49" t="str">
        <x:v>Granite Used Auto Center of Merrimack</x:v>
      </x:c>
      <x:c r="D144" s="245" t="n">
        <x:v>46236</x:v>
      </x:c>
      <x:c r="E144" s="49" t="str">
        <x:v>GSA003-20260802-001</x:v>
      </x:c>
      <x:c r="F144" s="49" t="str">
        <x:v>sanitized_public_inventory_reference</x:v>
      </x:c>
      <x:c r="G144" s="49" t="str">
        <x:v>Used</x:v>
      </x:c>
      <x:c r="H144" s="249" t="n">
        <x:v>2014</x:v>
      </x:c>
      <x:c r="I144" s="49" t="str">
        <x:v>Nissan</x:v>
      </x:c>
      <x:c r="J144" s="49" t="str">
        <x:v>Pathfinder</x:v>
      </x:c>
      <x:c r="K144" s="49" t="str">
        <x:v>S</x:v>
      </x:c>
      <x:c r="L144" s="49" t="str">
        <x:v>2014 Nissan Pathfinder S</x:v>
      </x:c>
      <x:c r="M144" s="253"/>
      <x:c r="N144" s="257"/>
      <x:c r="O144" s="49" t="str">
        <x:v>Price not exposed</x:v>
      </x:c>
      <x:c r="P144" s="49" t="str">
        <x:v>VEH-BA73F347EFFB</x:v>
      </x:c>
      <x:c r="Q144" s="49" t="str">
        <x:v>ARPIBA73F347EFFB8</x:v>
      </x:c>
      <x:c r="R144" s="249" t="n">
        <x:v>1</x:v>
      </x:c>
      <x:c r="S144" s="49" t="str">
        <x:v>Sanitized public reference data</x:v>
      </x:c>
    </x:row>
    <x:row r="145" ht="20" customHeight="1">
      <x:c r="A145" s="49" t="str">
        <x:v>GSA003-20260802-0144</x:v>
      </x:c>
      <x:c r="B145" s="49" t="str">
        <x:v>GSA-003</x:v>
      </x:c>
      <x:c r="C145" s="49" t="str">
        <x:v>Granite Used Auto Center of Merrimack</x:v>
      </x:c>
      <x:c r="D145" s="245" t="n">
        <x:v>46236</x:v>
      </x:c>
      <x:c r="E145" s="49" t="str">
        <x:v>GSA003-20260802-001</x:v>
      </x:c>
      <x:c r="F145" s="49" t="str">
        <x:v>sanitized_public_inventory_reference</x:v>
      </x:c>
      <x:c r="G145" s="49" t="str">
        <x:v>Used</x:v>
      </x:c>
      <x:c r="H145" s="249" t="n">
        <x:v>2021</x:v>
      </x:c>
      <x:c r="I145" s="49" t="str">
        <x:v>BMW</x:v>
      </x:c>
      <x:c r="J145" s="49" t="str">
        <x:v>X5</x:v>
      </x:c>
      <x:c r="K145" s="49" t="str">
        <x:v>xDrive40i</x:v>
      </x:c>
      <x:c r="L145" s="49" t="str">
        <x:v>2021 BMW X5 xDrive40i</x:v>
      </x:c>
      <x:c r="M145" s="253"/>
      <x:c r="N145" s="257"/>
      <x:c r="O145" s="49" t="str">
        <x:v>Price not exposed</x:v>
      </x:c>
      <x:c r="P145" s="49" t="str">
        <x:v>VEH-AE3582A3FDB3</x:v>
      </x:c>
      <x:c r="Q145" s="49" t="str">
        <x:v>ARPIAE3582A3FDB39</x:v>
      </x:c>
      <x:c r="R145" s="249" t="n">
        <x:v>1</x:v>
      </x:c>
      <x:c r="S145" s="49" t="str">
        <x:v>Sanitized public reference data</x:v>
      </x:c>
    </x:row>
    <x:row r="146" ht="20" customHeight="1">
      <x:c r="A146" s="49" t="str">
        <x:v>GSA003-20260802-0145</x:v>
      </x:c>
      <x:c r="B146" s="49" t="str">
        <x:v>GSA-003</x:v>
      </x:c>
      <x:c r="C146" s="49" t="str">
        <x:v>Granite Used Auto Center of Merrimack</x:v>
      </x:c>
      <x:c r="D146" s="245" t="n">
        <x:v>46236</x:v>
      </x:c>
      <x:c r="E146" s="49" t="str">
        <x:v>GSA003-20260802-001</x:v>
      </x:c>
      <x:c r="F146" s="49" t="str">
        <x:v>sanitized_public_inventory_reference</x:v>
      </x:c>
      <x:c r="G146" s="49" t="str">
        <x:v>Used</x:v>
      </x:c>
      <x:c r="H146" s="249" t="n">
        <x:v>2021</x:v>
      </x:c>
      <x:c r="I146" s="49" t="str">
        <x:v>Honda</x:v>
      </x:c>
      <x:c r="J146" s="49" t="str">
        <x:v>Pilot</x:v>
      </x:c>
      <x:c r="K146" s="49" t="str">
        <x:v>EX-L</x:v>
      </x:c>
      <x:c r="L146" s="49" t="str">
        <x:v>2021 Honda Pilot EX-L</x:v>
      </x:c>
      <x:c r="M146" s="253"/>
      <x:c r="N146" s="257"/>
      <x:c r="O146" s="49" t="str">
        <x:v>Price not exposed</x:v>
      </x:c>
      <x:c r="P146" s="49" t="str">
        <x:v>VEH-07172C946682</x:v>
      </x:c>
      <x:c r="Q146" s="49" t="str">
        <x:v>ARPI07172C9466824</x:v>
      </x:c>
      <x:c r="R146" s="249" t="n">
        <x:v>1</x:v>
      </x:c>
      <x:c r="S146" s="49" t="str">
        <x:v>Sanitized public reference data</x:v>
      </x:c>
    </x:row>
    <x:row r="147" ht="20" customHeight="1">
      <x:c r="A147" s="49" t="str">
        <x:v>GSA003-20260802-0146</x:v>
      </x:c>
      <x:c r="B147" s="49" t="str">
        <x:v>GSA-003</x:v>
      </x:c>
      <x:c r="C147" s="49" t="str">
        <x:v>Granite Used Auto Center of Merrimack</x:v>
      </x:c>
      <x:c r="D147" s="245" t="n">
        <x:v>46236</x:v>
      </x:c>
      <x:c r="E147" s="49" t="str">
        <x:v>GSA003-20260802-001</x:v>
      </x:c>
      <x:c r="F147" s="49" t="str">
        <x:v>sanitized_public_inventory_reference</x:v>
      </x:c>
      <x:c r="G147" s="49" t="str">
        <x:v>Used</x:v>
      </x:c>
      <x:c r="H147" s="249" t="n">
        <x:v>2020</x:v>
      </x:c>
      <x:c r="I147" s="49" t="str">
        <x:v>Mercedes-Benz</x:v>
      </x:c>
      <x:c r="J147" s="49" t="str">
        <x:v>GLS</x:v>
      </x:c>
      <x:c r="K147" s="49" t="str">
        <x:v>GLS 450</x:v>
      </x:c>
      <x:c r="L147" s="49" t="str">
        <x:v>2020 Mercedes-Benz GLS GLS 450</x:v>
      </x:c>
      <x:c r="M147" s="253"/>
      <x:c r="N147" s="257"/>
      <x:c r="O147" s="49" t="str">
        <x:v>Price not exposed</x:v>
      </x:c>
      <x:c r="P147" s="49" t="str">
        <x:v>VEH-7D9C08D55D0F</x:v>
      </x:c>
      <x:c r="Q147" s="49" t="str">
        <x:v>ARPI7D9C08D55D0FD</x:v>
      </x:c>
      <x:c r="R147" s="249" t="n">
        <x:v>1</x:v>
      </x:c>
      <x:c r="S147" s="49" t="str">
        <x:v>Sanitized public reference data</x:v>
      </x:c>
    </x:row>
    <x:row r="148" ht="20" customHeight="1">
      <x:c r="A148" s="49" t="str">
        <x:v>GSA003-20260802-0147</x:v>
      </x:c>
      <x:c r="B148" s="49" t="str">
        <x:v>GSA-003</x:v>
      </x:c>
      <x:c r="C148" s="49" t="str">
        <x:v>Granite Used Auto Center of Merrimack</x:v>
      </x:c>
      <x:c r="D148" s="245" t="n">
        <x:v>46236</x:v>
      </x:c>
      <x:c r="E148" s="49" t="str">
        <x:v>GSA003-20260802-001</x:v>
      </x:c>
      <x:c r="F148" s="49" t="str">
        <x:v>sanitized_public_inventory_reference</x:v>
      </x:c>
      <x:c r="G148" s="49" t="str">
        <x:v>Used</x:v>
      </x:c>
      <x:c r="H148" s="249" t="n">
        <x:v>2023</x:v>
      </x:c>
      <x:c r="I148" s="49" t="str">
        <x:v>Nissan</x:v>
      </x:c>
      <x:c r="J148" s="49" t="str">
        <x:v>Rogue</x:v>
      </x:c>
      <x:c r="K148" s="49" t="str">
        <x:v>SV</x:v>
      </x:c>
      <x:c r="L148" s="49" t="str">
        <x:v>2023 Nissan Rogue SV</x:v>
      </x:c>
      <x:c r="M148" s="253"/>
      <x:c r="N148" s="257"/>
      <x:c r="O148" s="49" t="str">
        <x:v>Price not exposed</x:v>
      </x:c>
      <x:c r="P148" s="49" t="str">
        <x:v>VEH-133EC5BDC696</x:v>
      </x:c>
      <x:c r="Q148" s="49" t="str">
        <x:v>ARPI133EC5BDC6967</x:v>
      </x:c>
      <x:c r="R148" s="249" t="n">
        <x:v>1</x:v>
      </x:c>
      <x:c r="S148" s="49" t="str">
        <x:v>Sanitized public reference data</x:v>
      </x:c>
    </x:row>
    <x:row r="149" ht="20" customHeight="1">
      <x:c r="A149" s="49" t="str">
        <x:v>GSA003-20260802-0148</x:v>
      </x:c>
      <x:c r="B149" s="49" t="str">
        <x:v>GSA-003</x:v>
      </x:c>
      <x:c r="C149" s="49" t="str">
        <x:v>Granite Used Auto Center of Merrimack</x:v>
      </x:c>
      <x:c r="D149" s="245" t="n">
        <x:v>46236</x:v>
      </x:c>
      <x:c r="E149" s="49" t="str">
        <x:v>GSA003-20260802-001</x:v>
      </x:c>
      <x:c r="F149" s="49" t="str">
        <x:v>sanitized_public_inventory_reference</x:v>
      </x:c>
      <x:c r="G149" s="49" t="str">
        <x:v>Used</x:v>
      </x:c>
      <x:c r="H149" s="249" t="n">
        <x:v>2019</x:v>
      </x:c>
      <x:c r="I149" s="49" t="str">
        <x:v>Chevrolet</x:v>
      </x:c>
      <x:c r="J149" s="49" t="str">
        <x:v>Silverado 1500 LD</x:v>
      </x:c>
      <x:c r="K149" s="49" t="str">
        <x:v>LT</x:v>
      </x:c>
      <x:c r="L149" s="49" t="str">
        <x:v>2019 Chevrolet Silverado 1500 LD LT</x:v>
      </x:c>
      <x:c r="M149" s="253"/>
      <x:c r="N149" s="257"/>
      <x:c r="O149" s="49" t="str">
        <x:v>Price not exposed</x:v>
      </x:c>
      <x:c r="P149" s="49" t="str">
        <x:v>VEH-68608146BF4A</x:v>
      </x:c>
      <x:c r="Q149" s="49" t="str">
        <x:v>ARPI68608146BF4A7</x:v>
      </x:c>
      <x:c r="R149" s="249" t="n">
        <x:v>1</x:v>
      </x:c>
      <x:c r="S149" s="49" t="str">
        <x:v>Sanitized public reference data</x:v>
      </x:c>
    </x:row>
    <x:row r="150" ht="20" customHeight="1">
      <x:c r="A150" s="49" t="str">
        <x:v>GSA003-20260802-0149</x:v>
      </x:c>
      <x:c r="B150" s="49" t="str">
        <x:v>GSA-003</x:v>
      </x:c>
      <x:c r="C150" s="49" t="str">
        <x:v>Granite Used Auto Center of Merrimack</x:v>
      </x:c>
      <x:c r="D150" s="245" t="n">
        <x:v>46236</x:v>
      </x:c>
      <x:c r="E150" s="49" t="str">
        <x:v>GSA003-20260802-001</x:v>
      </x:c>
      <x:c r="F150" s="49" t="str">
        <x:v>sanitized_public_inventory_reference</x:v>
      </x:c>
      <x:c r="G150" s="49" t="str">
        <x:v>Used</x:v>
      </x:c>
      <x:c r="H150" s="249" t="n">
        <x:v>2016</x:v>
      </x:c>
      <x:c r="I150" s="49" t="str">
        <x:v>BMW</x:v>
      </x:c>
      <x:c r="J150" s="49" t="str">
        <x:v>2 Series</x:v>
      </x:c>
      <x:c r="K150" s="49" t="str">
        <x:v>M235i xDrive</x:v>
      </x:c>
      <x:c r="L150" s="49" t="str">
        <x:v>2016 BMW 2 Series M235i xDrive</x:v>
      </x:c>
      <x:c r="M150" s="253"/>
      <x:c r="N150" s="257"/>
      <x:c r="O150" s="49" t="str">
        <x:v>Price not exposed</x:v>
      </x:c>
      <x:c r="P150" s="49" t="str">
        <x:v>VEH-D6B1930C3A78</x:v>
      </x:c>
      <x:c r="Q150" s="49" t="str">
        <x:v>ARPID6B1930C3A786</x:v>
      </x:c>
      <x:c r="R150" s="249" t="n">
        <x:v>1</x:v>
      </x:c>
      <x:c r="S150" s="49" t="str">
        <x:v>Sanitized public reference data</x:v>
      </x:c>
    </x:row>
    <x:row r="151" ht="20" customHeight="1">
      <x:c r="A151" s="49" t="str">
        <x:v>GSA003-20260802-0150</x:v>
      </x:c>
      <x:c r="B151" s="49" t="str">
        <x:v>GSA-003</x:v>
      </x:c>
      <x:c r="C151" s="49" t="str">
        <x:v>Granite Used Auto Center of Merrimack</x:v>
      </x:c>
      <x:c r="D151" s="245" t="n">
        <x:v>46236</x:v>
      </x:c>
      <x:c r="E151" s="49" t="str">
        <x:v>GSA003-20260802-001</x:v>
      </x:c>
      <x:c r="F151" s="49" t="str">
        <x:v>sanitized_public_inventory_reference</x:v>
      </x:c>
      <x:c r="G151" s="49" t="str">
        <x:v>Used</x:v>
      </x:c>
      <x:c r="H151" s="249" t="n">
        <x:v>2022</x:v>
      </x:c>
      <x:c r="I151" s="49" t="str">
        <x:v>Chevrolet</x:v>
      </x:c>
      <x:c r="J151" s="49" t="str">
        <x:v>Colorado</x:v>
      </x:c>
      <x:c r="K151" s="49" t="str">
        <x:v>LT</x:v>
      </x:c>
      <x:c r="L151" s="49" t="str">
        <x:v>2022 Chevrolet Colorado LT</x:v>
      </x:c>
      <x:c r="M151" s="253"/>
      <x:c r="N151" s="257"/>
      <x:c r="O151" s="49" t="str">
        <x:v>Price not exposed</x:v>
      </x:c>
      <x:c r="P151" s="49" t="str">
        <x:v>VEH-9902CEA79DDA</x:v>
      </x:c>
      <x:c r="Q151" s="49" t="str">
        <x:v>ARPI9902CEA79DDA1</x:v>
      </x:c>
      <x:c r="R151" s="249" t="n">
        <x:v>1</x:v>
      </x:c>
      <x:c r="S151" s="49" t="str">
        <x:v>Sanitized public reference data</x:v>
      </x:c>
    </x:row>
    <x:row r="152" ht="20" customHeight="1">
      <x:c r="A152" s="49" t="str">
        <x:v>GSA003-20260802-0151</x:v>
      </x:c>
      <x:c r="B152" s="49" t="str">
        <x:v>GSA-003</x:v>
      </x:c>
      <x:c r="C152" s="49" t="str">
        <x:v>Granite Used Auto Center of Merrimack</x:v>
      </x:c>
      <x:c r="D152" s="245" t="n">
        <x:v>46236</x:v>
      </x:c>
      <x:c r="E152" s="49" t="str">
        <x:v>GSA003-20260802-001</x:v>
      </x:c>
      <x:c r="F152" s="49" t="str">
        <x:v>sanitized_public_inventory_reference</x:v>
      </x:c>
      <x:c r="G152" s="49" t="str">
        <x:v>Used</x:v>
      </x:c>
      <x:c r="H152" s="249" t="n">
        <x:v>2019</x:v>
      </x:c>
      <x:c r="I152" s="49" t="str">
        <x:v>GMC</x:v>
      </x:c>
      <x:c r="J152" s="49" t="str">
        <x:v>Canyon</x:v>
      </x:c>
      <x:c r="K152" s="49" t="str">
        <x:v>Denali</x:v>
      </x:c>
      <x:c r="L152" s="49" t="str">
        <x:v>2019 GMC Canyon Denali</x:v>
      </x:c>
      <x:c r="M152" s="253"/>
      <x:c r="N152" s="257"/>
      <x:c r="O152" s="49" t="str">
        <x:v>Price not exposed</x:v>
      </x:c>
      <x:c r="P152" s="49" t="str">
        <x:v>VEH-E4F829841B4B</x:v>
      </x:c>
      <x:c r="Q152" s="49" t="str">
        <x:v>ARPIE4F829841B4B6</x:v>
      </x:c>
      <x:c r="R152" s="249" t="n">
        <x:v>1</x:v>
      </x:c>
      <x:c r="S152" s="49" t="str">
        <x:v>Sanitized public reference data</x:v>
      </x:c>
    </x:row>
    <x:row r="153" ht="20" customHeight="1">
      <x:c r="A153" s="49" t="str">
        <x:v>GSA003-20260802-0152</x:v>
      </x:c>
      <x:c r="B153" s="49" t="str">
        <x:v>GSA-003</x:v>
      </x:c>
      <x:c r="C153" s="49" t="str">
        <x:v>Granite Used Auto Center of Merrimack</x:v>
      </x:c>
      <x:c r="D153" s="245" t="n">
        <x:v>46236</x:v>
      </x:c>
      <x:c r="E153" s="49" t="str">
        <x:v>GSA003-20260802-001</x:v>
      </x:c>
      <x:c r="F153" s="49" t="str">
        <x:v>sanitized_public_inventory_reference</x:v>
      </x:c>
      <x:c r="G153" s="49" t="str">
        <x:v>Used</x:v>
      </x:c>
      <x:c r="H153" s="249" t="n">
        <x:v>2022</x:v>
      </x:c>
      <x:c r="I153" s="49" t="str">
        <x:v>GMC</x:v>
      </x:c>
      <x:c r="J153" s="49" t="str">
        <x:v>Sierra 1500 Limited</x:v>
      </x:c>
      <x:c r="K153" s="49" t="str">
        <x:v>SLT</x:v>
      </x:c>
      <x:c r="L153" s="49" t="str">
        <x:v>2022 GMC Sierra 1500 Limited SLT</x:v>
      </x:c>
      <x:c r="M153" s="253"/>
      <x:c r="N153" s="257"/>
      <x:c r="O153" s="49" t="str">
        <x:v>Price not exposed</x:v>
      </x:c>
      <x:c r="P153" s="49" t="str">
        <x:v>VEH-800B86DF371C</x:v>
      </x:c>
      <x:c r="Q153" s="49" t="str">
        <x:v>ARPI800B86DF371C3</x:v>
      </x:c>
      <x:c r="R153" s="249" t="n">
        <x:v>1</x:v>
      </x:c>
      <x:c r="S153" s="49" t="str">
        <x:v>Sanitized public reference data</x:v>
      </x:c>
    </x:row>
    <x:row r="154" ht="20" customHeight="1">
      <x:c r="A154" s="49" t="str">
        <x:v>GSA003-20260802-0153</x:v>
      </x:c>
      <x:c r="B154" s="49" t="str">
        <x:v>GSA-003</x:v>
      </x:c>
      <x:c r="C154" s="49" t="str">
        <x:v>Granite Used Auto Center of Merrimack</x:v>
      </x:c>
      <x:c r="D154" s="245" t="n">
        <x:v>46236</x:v>
      </x:c>
      <x:c r="E154" s="49" t="str">
        <x:v>GSA003-20260802-001</x:v>
      </x:c>
      <x:c r="F154" s="49" t="str">
        <x:v>sanitized_public_inventory_reference</x:v>
      </x:c>
      <x:c r="G154" s="49" t="str">
        <x:v>Used</x:v>
      </x:c>
      <x:c r="H154" s="249" t="n">
        <x:v>2021</x:v>
      </x:c>
      <x:c r="I154" s="49" t="str">
        <x:v>BMW</x:v>
      </x:c>
      <x:c r="J154" s="49" t="str">
        <x:v>X5</x:v>
      </x:c>
      <x:c r="K154" s="49" t="str">
        <x:v>xDrive40i</x:v>
      </x:c>
      <x:c r="L154" s="49" t="str">
        <x:v>2021 BMW X5 xDrive40i</x:v>
      </x:c>
      <x:c r="M154" s="253"/>
      <x:c r="N154" s="257"/>
      <x:c r="O154" s="49" t="str">
        <x:v>Price not exposed</x:v>
      </x:c>
      <x:c r="P154" s="49" t="str">
        <x:v>VEH-9DD604A1739A</x:v>
      </x:c>
      <x:c r="Q154" s="49" t="str">
        <x:v>ARPI9DD604A1739AA</x:v>
      </x:c>
      <x:c r="R154" s="249" t="n">
        <x:v>1</x:v>
      </x:c>
      <x:c r="S154" s="49" t="str">
        <x:v>Sanitized public reference data</x:v>
      </x:c>
    </x:row>
    <x:row r="155" ht="20" customHeight="1">
      <x:c r="A155" s="49" t="str">
        <x:v>GSA003-20260802-0154</x:v>
      </x:c>
      <x:c r="B155" s="49" t="str">
        <x:v>GSA-003</x:v>
      </x:c>
      <x:c r="C155" s="49" t="str">
        <x:v>Granite Used Auto Center of Merrimack</x:v>
      </x:c>
      <x:c r="D155" s="245" t="n">
        <x:v>46236</x:v>
      </x:c>
      <x:c r="E155" s="49" t="str">
        <x:v>GSA003-20260802-001</x:v>
      </x:c>
      <x:c r="F155" s="49" t="str">
        <x:v>sanitized_public_inventory_reference</x:v>
      </x:c>
      <x:c r="G155" s="49" t="str">
        <x:v>Used</x:v>
      </x:c>
      <x:c r="H155" s="249" t="n">
        <x:v>2022</x:v>
      </x:c>
      <x:c r="I155" s="49" t="str">
        <x:v>Mercedes-Benz</x:v>
      </x:c>
      <x:c r="J155" s="49" t="str">
        <x:v>GLC</x:v>
      </x:c>
      <x:c r="K155" s="49" t="str">
        <x:v>GLC 300</x:v>
      </x:c>
      <x:c r="L155" s="49" t="str">
        <x:v>2022 Mercedes-Benz GLC GLC 300</x:v>
      </x:c>
      <x:c r="M155" s="253"/>
      <x:c r="N155" s="257"/>
      <x:c r="O155" s="49" t="str">
        <x:v>Price not exposed</x:v>
      </x:c>
      <x:c r="P155" s="49" t="str">
        <x:v>VEH-392425624A9A</x:v>
      </x:c>
      <x:c r="Q155" s="49" t="str">
        <x:v>ARPI392425624A9A2</x:v>
      </x:c>
      <x:c r="R155" s="249" t="n">
        <x:v>1</x:v>
      </x:c>
      <x:c r="S155" s="49" t="str">
        <x:v>Sanitized public reference data</x:v>
      </x:c>
    </x:row>
    <x:row r="156" ht="20" customHeight="1">
      <x:c r="A156" s="49" t="str">
        <x:v>GSA003-20260802-0155</x:v>
      </x:c>
      <x:c r="B156" s="49" t="str">
        <x:v>GSA-003</x:v>
      </x:c>
      <x:c r="C156" s="49" t="str">
        <x:v>Granite Used Auto Center of Merrimack</x:v>
      </x:c>
      <x:c r="D156" s="245" t="n">
        <x:v>46236</x:v>
      </x:c>
      <x:c r="E156" s="49" t="str">
        <x:v>GSA003-20260802-001</x:v>
      </x:c>
      <x:c r="F156" s="49" t="str">
        <x:v>sanitized_public_inventory_reference</x:v>
      </x:c>
      <x:c r="G156" s="49" t="str">
        <x:v>Used</x:v>
      </x:c>
      <x:c r="H156" s="249" t="n">
        <x:v>2009</x:v>
      </x:c>
      <x:c r="I156" s="49" t="str">
        <x:v>Hyundai</x:v>
      </x:c>
      <x:c r="J156" s="49" t="str">
        <x:v>Santa Fe</x:v>
      </x:c>
      <x:c r="K156" s="49" t="str">
        <x:v>GLS</x:v>
      </x:c>
      <x:c r="L156" s="49" t="str">
        <x:v>2009 Hyundai Santa Fe GLS</x:v>
      </x:c>
      <x:c r="M156" s="253"/>
      <x:c r="N156" s="257"/>
      <x:c r="O156" s="49" t="str">
        <x:v>Price not exposed</x:v>
      </x:c>
      <x:c r="P156" s="49" t="str">
        <x:v>VEH-F99C04E261AF</x:v>
      </x:c>
      <x:c r="Q156" s="49" t="str">
        <x:v>ARPIF99C04E261AFA</x:v>
      </x:c>
      <x:c r="R156" s="249" t="n">
        <x:v>1</x:v>
      </x:c>
      <x:c r="S156" s="49" t="str">
        <x:v>Sanitized public reference data</x:v>
      </x:c>
    </x:row>
    <x:row r="157" ht="20" customHeight="1">
      <x:c r="A157" s="49" t="str">
        <x:v>GSA003-20260802-0156</x:v>
      </x:c>
      <x:c r="B157" s="49" t="str">
        <x:v>GSA-003</x:v>
      </x:c>
      <x:c r="C157" s="49" t="str">
        <x:v>Granite Used Auto Center of Merrimack</x:v>
      </x:c>
      <x:c r="D157" s="245" t="n">
        <x:v>46236</x:v>
      </x:c>
      <x:c r="E157" s="49" t="str">
        <x:v>GSA003-20260802-001</x:v>
      </x:c>
      <x:c r="F157" s="49" t="str">
        <x:v>sanitized_public_inventory_reference</x:v>
      </x:c>
      <x:c r="G157" s="49" t="str">
        <x:v>Used</x:v>
      </x:c>
      <x:c r="H157" s="249" t="n">
        <x:v>2012</x:v>
      </x:c>
      <x:c r="I157" s="49" t="str">
        <x:v>Mazda</x:v>
      </x:c>
      <x:c r="J157" s="49" t="str">
        <x:v>Mazda6</x:v>
      </x:c>
      <x:c r="K157" s="49" t="str">
        <x:v>i Touring</x:v>
      </x:c>
      <x:c r="L157" s="49" t="str">
        <x:v>2012 Mazda Mazda6 i Touring</x:v>
      </x:c>
      <x:c r="M157" s="253"/>
      <x:c r="N157" s="257"/>
      <x:c r="O157" s="49" t="str">
        <x:v>Price not exposed</x:v>
      </x:c>
      <x:c r="P157" s="49" t="str">
        <x:v>VEH-02D96B8896C4</x:v>
      </x:c>
      <x:c r="Q157" s="49" t="str">
        <x:v>ARPI02D96B8896C4B</x:v>
      </x:c>
      <x:c r="R157" s="249" t="n">
        <x:v>1</x:v>
      </x:c>
      <x:c r="S157" s="49" t="str">
        <x:v>Sanitized public reference data</x:v>
      </x:c>
    </x:row>
    <x:row r="158" ht="20" customHeight="1">
      <x:c r="A158" s="49" t="str">
        <x:v>GSA003-20260802-0157</x:v>
      </x:c>
      <x:c r="B158" s="49" t="str">
        <x:v>GSA-003</x:v>
      </x:c>
      <x:c r="C158" s="49" t="str">
        <x:v>Granite Used Auto Center of Merrimack</x:v>
      </x:c>
      <x:c r="D158" s="245" t="n">
        <x:v>46236</x:v>
      </x:c>
      <x:c r="E158" s="49" t="str">
        <x:v>GSA003-20260802-001</x:v>
      </x:c>
      <x:c r="F158" s="49" t="str">
        <x:v>sanitized_public_inventory_reference</x:v>
      </x:c>
      <x:c r="G158" s="49" t="str">
        <x:v>Used</x:v>
      </x:c>
      <x:c r="H158" s="249" t="n">
        <x:v>2023</x:v>
      </x:c>
      <x:c r="I158" s="49" t="str">
        <x:v>Hyundai</x:v>
      </x:c>
      <x:c r="J158" s="49" t="str">
        <x:v>Santa Fe</x:v>
      </x:c>
      <x:c r="K158" s="49" t="str">
        <x:v>SEL</x:v>
      </x:c>
      <x:c r="L158" s="49" t="str">
        <x:v>2023 Hyundai Santa Fe SEL</x:v>
      </x:c>
      <x:c r="M158" s="253"/>
      <x:c r="N158" s="257"/>
      <x:c r="O158" s="49" t="str">
        <x:v>Price not exposed</x:v>
      </x:c>
      <x:c r="P158" s="49" t="str">
        <x:v>VEH-4924721AD337</x:v>
      </x:c>
      <x:c r="Q158" s="49" t="str">
        <x:v>ARPI4924721AD337C</x:v>
      </x:c>
      <x:c r="R158" s="249" t="n">
        <x:v>1</x:v>
      </x:c>
      <x:c r="S158" s="49" t="str">
        <x:v>Sanitized public reference data</x:v>
      </x:c>
    </x:row>
    <x:row r="159" ht="20" customHeight="1">
      <x:c r="A159" s="49" t="str">
        <x:v>GSA003-20260802-0158</x:v>
      </x:c>
      <x:c r="B159" s="49" t="str">
        <x:v>GSA-003</x:v>
      </x:c>
      <x:c r="C159" s="49" t="str">
        <x:v>Granite Used Auto Center of Merrimack</x:v>
      </x:c>
      <x:c r="D159" s="245" t="n">
        <x:v>46236</x:v>
      </x:c>
      <x:c r="E159" s="49" t="str">
        <x:v>GSA003-20260802-001</x:v>
      </x:c>
      <x:c r="F159" s="49" t="str">
        <x:v>sanitized_public_inventory_reference</x:v>
      </x:c>
      <x:c r="G159" s="49" t="str">
        <x:v>Used</x:v>
      </x:c>
      <x:c r="H159" s="249" t="n">
        <x:v>2021</x:v>
      </x:c>
      <x:c r="I159" s="49" t="str">
        <x:v>Chevrolet</x:v>
      </x:c>
      <x:c r="J159" s="49" t="str">
        <x:v>Tahoe</x:v>
      </x:c>
      <x:c r="K159" s="49" t="str">
        <x:v>LT</x:v>
      </x:c>
      <x:c r="L159" s="49" t="str">
        <x:v>2021 Chevrolet Tahoe LT</x:v>
      </x:c>
      <x:c r="M159" s="253"/>
      <x:c r="N159" s="257"/>
      <x:c r="O159" s="49" t="str">
        <x:v>Price not exposed</x:v>
      </x:c>
      <x:c r="P159" s="49" t="str">
        <x:v>VEH-A437B136B2A4</x:v>
      </x:c>
      <x:c r="Q159" s="49" t="str">
        <x:v>ARPIA437B136B2A42</x:v>
      </x:c>
      <x:c r="R159" s="249" t="n">
        <x:v>1</x:v>
      </x:c>
      <x:c r="S159" s="49" t="str">
        <x:v>Sanitized public reference data</x:v>
      </x:c>
    </x:row>
    <x:row r="160" ht="20" customHeight="1">
      <x:c r="A160" s="49" t="str">
        <x:v>GSA003-20260802-0159</x:v>
      </x:c>
      <x:c r="B160" s="49" t="str">
        <x:v>GSA-003</x:v>
      </x:c>
      <x:c r="C160" s="49" t="str">
        <x:v>Granite Used Auto Center of Merrimack</x:v>
      </x:c>
      <x:c r="D160" s="245" t="n">
        <x:v>46236</x:v>
      </x:c>
      <x:c r="E160" s="49" t="str">
        <x:v>GSA003-20260802-001</x:v>
      </x:c>
      <x:c r="F160" s="49" t="str">
        <x:v>sanitized_public_inventory_reference</x:v>
      </x:c>
      <x:c r="G160" s="49" t="str">
        <x:v>Used</x:v>
      </x:c>
      <x:c r="H160" s="249" t="n">
        <x:v>2021</x:v>
      </x:c>
      <x:c r="I160" s="49" t="str">
        <x:v>Chevrolet</x:v>
      </x:c>
      <x:c r="J160" s="49" t="str">
        <x:v>Silverado 1500</x:v>
      </x:c>
      <x:c r="K160" s="49" t="str">
        <x:v>RST</x:v>
      </x:c>
      <x:c r="L160" s="49" t="str">
        <x:v>2021 Chevrolet Silverado 1500 RST</x:v>
      </x:c>
      <x:c r="M160" s="253"/>
      <x:c r="N160" s="257"/>
      <x:c r="O160" s="49" t="str">
        <x:v>Price not exposed</x:v>
      </x:c>
      <x:c r="P160" s="49" t="str">
        <x:v>VEH-4BCBDC8BCD92</x:v>
      </x:c>
      <x:c r="Q160" s="49" t="str">
        <x:v>ARPI4BCBDC8BCD923</x:v>
      </x:c>
      <x:c r="R160" s="249" t="n">
        <x:v>1</x:v>
      </x:c>
      <x:c r="S160" s="49" t="str">
        <x:v>Sanitized public reference data</x:v>
      </x:c>
    </x:row>
    <x:row r="161" ht="20" customHeight="1">
      <x:c r="A161" s="49" t="str">
        <x:v>GSA003-20260802-0160</x:v>
      </x:c>
      <x:c r="B161" s="49" t="str">
        <x:v>GSA-003</x:v>
      </x:c>
      <x:c r="C161" s="49" t="str">
        <x:v>Granite Used Auto Center of Merrimack</x:v>
      </x:c>
      <x:c r="D161" s="245" t="n">
        <x:v>46236</x:v>
      </x:c>
      <x:c r="E161" s="49" t="str">
        <x:v>GSA003-20260802-001</x:v>
      </x:c>
      <x:c r="F161" s="49" t="str">
        <x:v>sanitized_public_inventory_reference</x:v>
      </x:c>
      <x:c r="G161" s="49" t="str">
        <x:v>Used</x:v>
      </x:c>
      <x:c r="H161" s="249" t="n">
        <x:v>2023</x:v>
      </x:c>
      <x:c r="I161" s="49" t="str">
        <x:v>Nissan</x:v>
      </x:c>
      <x:c r="J161" s="49" t="str">
        <x:v>Rogue</x:v>
      </x:c>
      <x:c r="K161" s="49" t="str">
        <x:v>SV</x:v>
      </x:c>
      <x:c r="L161" s="49" t="str">
        <x:v>2023 Nissan Rogue SV</x:v>
      </x:c>
      <x:c r="M161" s="253"/>
      <x:c r="N161" s="257"/>
      <x:c r="O161" s="49" t="str">
        <x:v>Price not exposed</x:v>
      </x:c>
      <x:c r="P161" s="49" t="str">
        <x:v>VEH-5BD6D9E22C23</x:v>
      </x:c>
      <x:c r="Q161" s="49" t="str">
        <x:v>ARPI5BD6D9E22C232</x:v>
      </x:c>
      <x:c r="R161" s="249" t="n">
        <x:v>1</x:v>
      </x:c>
      <x:c r="S161" s="49" t="str">
        <x:v>Sanitized public reference data</x:v>
      </x:c>
    </x:row>
    <x:row r="162" ht="20" customHeight="1">
      <x:c r="A162" s="49" t="str">
        <x:v>GSA003-20260802-0161</x:v>
      </x:c>
      <x:c r="B162" s="49" t="str">
        <x:v>GSA-003</x:v>
      </x:c>
      <x:c r="C162" s="49" t="str">
        <x:v>Granite Used Auto Center of Merrimack</x:v>
      </x:c>
      <x:c r="D162" s="245" t="n">
        <x:v>46236</x:v>
      </x:c>
      <x:c r="E162" s="49" t="str">
        <x:v>GSA003-20260802-001</x:v>
      </x:c>
      <x:c r="F162" s="49" t="str">
        <x:v>sanitized_public_inventory_reference</x:v>
      </x:c>
      <x:c r="G162" s="49" t="str">
        <x:v>Used</x:v>
      </x:c>
      <x:c r="H162" s="249" t="n">
        <x:v>2020</x:v>
      </x:c>
      <x:c r="I162" s="49" t="str">
        <x:v>Mercedes-Benz</x:v>
      </x:c>
      <x:c r="J162" s="49" t="str">
        <x:v>GLE</x:v>
      </x:c>
      <x:c r="K162" s="49" t="str">
        <x:v>GLE 350</x:v>
      </x:c>
      <x:c r="L162" s="49" t="str">
        <x:v>2020 Mercedes-Benz GLE GLE 350</x:v>
      </x:c>
      <x:c r="M162" s="253"/>
      <x:c r="N162" s="257"/>
      <x:c r="O162" s="49" t="str">
        <x:v>Price not exposed</x:v>
      </x:c>
      <x:c r="P162" s="49" t="str">
        <x:v>VEH-1EDFF1E7611B</x:v>
      </x:c>
      <x:c r="Q162" s="49" t="str">
        <x:v>ARPI1EDFF1E7611BA</x:v>
      </x:c>
      <x:c r="R162" s="249" t="n">
        <x:v>1</x:v>
      </x:c>
      <x:c r="S162" s="49" t="str">
        <x:v>Sanitized public reference data</x:v>
      </x:c>
    </x:row>
    <x:row r="163" ht="20" customHeight="1">
      <x:c r="A163" s="49" t="str">
        <x:v>GSA003-20260802-0162</x:v>
      </x:c>
      <x:c r="B163" s="49" t="str">
        <x:v>GSA-003</x:v>
      </x:c>
      <x:c r="C163" s="49" t="str">
        <x:v>Granite Used Auto Center of Merrimack</x:v>
      </x:c>
      <x:c r="D163" s="245" t="n">
        <x:v>46236</x:v>
      </x:c>
      <x:c r="E163" s="49" t="str">
        <x:v>GSA003-20260802-001</x:v>
      </x:c>
      <x:c r="F163" s="49" t="str">
        <x:v>sanitized_public_inventory_reference</x:v>
      </x:c>
      <x:c r="G163" s="49" t="str">
        <x:v>Used</x:v>
      </x:c>
      <x:c r="H163" s="249" t="n">
        <x:v>2022</x:v>
      </x:c>
      <x:c r="I163" s="49" t="str">
        <x:v>Mercedes-Benz</x:v>
      </x:c>
      <x:c r="J163" s="49" t="str">
        <x:v>GLA</x:v>
      </x:c>
      <x:c r="K163" s="49" t="str">
        <x:v>GLA 250</x:v>
      </x:c>
      <x:c r="L163" s="49" t="str">
        <x:v>2022 Mercedes-Benz GLA GLA 250</x:v>
      </x:c>
      <x:c r="M163" s="253"/>
      <x:c r="N163" s="257"/>
      <x:c r="O163" s="49" t="str">
        <x:v>Price not exposed</x:v>
      </x:c>
      <x:c r="P163" s="49" t="str">
        <x:v>VEH-822FA0AB3A40</x:v>
      </x:c>
      <x:c r="Q163" s="49" t="str">
        <x:v>ARPI822FA0AB3A40F</x:v>
      </x:c>
      <x:c r="R163" s="249" t="n">
        <x:v>1</x:v>
      </x:c>
      <x:c r="S163" s="49" t="str">
        <x:v>Sanitized public reference data</x:v>
      </x:c>
    </x:row>
    <x:row r="164" ht="20" customHeight="1">
      <x:c r="A164" s="49" t="str">
        <x:v>GSA003-20260802-0163</x:v>
      </x:c>
      <x:c r="B164" s="49" t="str">
        <x:v>GSA-003</x:v>
      </x:c>
      <x:c r="C164" s="49" t="str">
        <x:v>Granite Used Auto Center of Merrimack</x:v>
      </x:c>
      <x:c r="D164" s="245" t="n">
        <x:v>46236</x:v>
      </x:c>
      <x:c r="E164" s="49" t="str">
        <x:v>GSA003-20260802-001</x:v>
      </x:c>
      <x:c r="F164" s="49" t="str">
        <x:v>sanitized_public_inventory_reference</x:v>
      </x:c>
      <x:c r="G164" s="49" t="str">
        <x:v>Used</x:v>
      </x:c>
      <x:c r="H164" s="249" t="n">
        <x:v>2024</x:v>
      </x:c>
      <x:c r="I164" s="49" t="str">
        <x:v>Mazda</x:v>
      </x:c>
      <x:c r="J164" s="49" t="str">
        <x:v>CX-5</x:v>
      </x:c>
      <x:c r="K164" s="49" t="str">
        <x:v>2.5 S Carbon Edition</x:v>
      </x:c>
      <x:c r="L164" s="49" t="str">
        <x:v>2024 Mazda CX-5 2.5 S Carbon Edition</x:v>
      </x:c>
      <x:c r="M164" s="253"/>
      <x:c r="N164" s="257"/>
      <x:c r="O164" s="49" t="str">
        <x:v>Price not exposed</x:v>
      </x:c>
      <x:c r="P164" s="49" t="str">
        <x:v>VEH-B6380F86F263</x:v>
      </x:c>
      <x:c r="Q164" s="49" t="str">
        <x:v>ARPIB6380F86F2636</x:v>
      </x:c>
      <x:c r="R164" s="249" t="n">
        <x:v>1</x:v>
      </x:c>
      <x:c r="S164" s="49" t="str">
        <x:v>Sanitized public reference data</x:v>
      </x:c>
    </x:row>
    <x:row r="165" ht="20" customHeight="1">
      <x:c r="A165" s="49" t="str">
        <x:v>GSA003-20260802-0164</x:v>
      </x:c>
      <x:c r="B165" s="49" t="str">
        <x:v>GSA-003</x:v>
      </x:c>
      <x:c r="C165" s="49" t="str">
        <x:v>Granite Used Auto Center of Merrimack</x:v>
      </x:c>
      <x:c r="D165" s="245" t="n">
        <x:v>46236</x:v>
      </x:c>
      <x:c r="E165" s="49" t="str">
        <x:v>GSA003-20260802-001</x:v>
      </x:c>
      <x:c r="F165" s="49" t="str">
        <x:v>sanitized_public_inventory_reference</x:v>
      </x:c>
      <x:c r="G165" s="49" t="str">
        <x:v>Used</x:v>
      </x:c>
      <x:c r="H165" s="249" t="n">
        <x:v>2020</x:v>
      </x:c>
      <x:c r="I165" s="49" t="str">
        <x:v>Ram</x:v>
      </x:c>
      <x:c r="J165" s="49" t="str">
        <x:v>1500</x:v>
      </x:c>
      <x:c r="K165" s="49" t="str">
        <x:v>Big Horn/Lone Star</x:v>
      </x:c>
      <x:c r="L165" s="49" t="str">
        <x:v>2020 Ram 1500 Big Horn/Lone Star</x:v>
      </x:c>
      <x:c r="M165" s="253" t="n">
        <x:v>105029</x:v>
      </x:c>
      <x:c r="N165" s="257" t="n">
        <x:v>24495</x:v>
      </x:c>
      <x:c r="O165" s="49" t="str">
        <x:v>Listed</x:v>
      </x:c>
      <x:c r="P165" s="49" t="str">
        <x:v>VEH-3F33FB28CF9E</x:v>
      </x:c>
      <x:c r="Q165" s="49" t="str">
        <x:v>ARPI3F33FB28CF9EB</x:v>
      </x:c>
      <x:c r="R165" s="249" t="n">
        <x:v>1</x:v>
      </x:c>
      <x:c r="S165" s="49" t="str">
        <x:v>Sanitized public reference data</x:v>
      </x:c>
    </x:row>
    <x:row r="166" ht="20" customHeight="1">
      <x:c r="A166" s="49" t="str">
        <x:v>GSA003-20260802-0165</x:v>
      </x:c>
      <x:c r="B166" s="49" t="str">
        <x:v>GSA-003</x:v>
      </x:c>
      <x:c r="C166" s="49" t="str">
        <x:v>Granite Used Auto Center of Merrimack</x:v>
      </x:c>
      <x:c r="D166" s="245" t="n">
        <x:v>46236</x:v>
      </x:c>
      <x:c r="E166" s="49" t="str">
        <x:v>GSA003-20260802-001</x:v>
      </x:c>
      <x:c r="F166" s="49" t="str">
        <x:v>sanitized_public_inventory_reference</x:v>
      </x:c>
      <x:c r="G166" s="49" t="str">
        <x:v>Used</x:v>
      </x:c>
      <x:c r="H166" s="249" t="n">
        <x:v>2023</x:v>
      </x:c>
      <x:c r="I166" s="49" t="str">
        <x:v>Hyundai</x:v>
      </x:c>
      <x:c r="J166" s="49" t="str">
        <x:v>Sonata</x:v>
      </x:c>
      <x:c r="K166" s="49" t="str">
        <x:v>SEL</x:v>
      </x:c>
      <x:c r="L166" s="49" t="str">
        <x:v>2023 Hyundai Sonata SEL</x:v>
      </x:c>
      <x:c r="M166" s="253"/>
      <x:c r="N166" s="257"/>
      <x:c r="O166" s="49" t="str">
        <x:v>Price not exposed</x:v>
      </x:c>
      <x:c r="P166" s="49" t="str">
        <x:v>VEH-BEDF72544F0E</x:v>
      </x:c>
      <x:c r="Q166" s="49" t="str">
        <x:v>ARPIBEDF72544F0E7</x:v>
      </x:c>
      <x:c r="R166" s="249" t="n">
        <x:v>1</x:v>
      </x:c>
      <x:c r="S166" s="49" t="str">
        <x:v>Sanitized public reference data</x:v>
      </x:c>
    </x:row>
    <x:row r="167" ht="20" customHeight="1">
      <x:c r="A167" s="49" t="str">
        <x:v>GSA003-20260802-0166</x:v>
      </x:c>
      <x:c r="B167" s="49" t="str">
        <x:v>GSA-003</x:v>
      </x:c>
      <x:c r="C167" s="49" t="str">
        <x:v>Granite Used Auto Center of Merrimack</x:v>
      </x:c>
      <x:c r="D167" s="245" t="n">
        <x:v>46236</x:v>
      </x:c>
      <x:c r="E167" s="49" t="str">
        <x:v>GSA003-20260802-001</x:v>
      </x:c>
      <x:c r="F167" s="49" t="str">
        <x:v>sanitized_public_inventory_reference</x:v>
      </x:c>
      <x:c r="G167" s="49" t="str">
        <x:v>Used</x:v>
      </x:c>
      <x:c r="H167" s="249" t="n">
        <x:v>2020</x:v>
      </x:c>
      <x:c r="I167" s="49" t="str">
        <x:v>GMC</x:v>
      </x:c>
      <x:c r="J167" s="49" t="str">
        <x:v>Sierra 1500</x:v>
      </x:c>
      <x:c r="K167" s="49" t="str">
        <x:v>SLE</x:v>
      </x:c>
      <x:c r="L167" s="49" t="str">
        <x:v>2020 GMC Sierra 1500 SLE</x:v>
      </x:c>
      <x:c r="M167" s="253"/>
      <x:c r="N167" s="257"/>
      <x:c r="O167" s="49" t="str">
        <x:v>Price not exposed</x:v>
      </x:c>
      <x:c r="P167" s="49" t="str">
        <x:v>VEH-C2A7E965469F</x:v>
      </x:c>
      <x:c r="Q167" s="49" t="str">
        <x:v>ARPIC2A7E965469F8</x:v>
      </x:c>
      <x:c r="R167" s="249" t="n">
        <x:v>1</x:v>
      </x:c>
      <x:c r="S167" s="49" t="str">
        <x:v>Sanitized public reference data</x:v>
      </x:c>
    </x:row>
    <x:row r="168" ht="20" customHeight="1">
      <x:c r="A168" s="49" t="str">
        <x:v>GSA003-20260802-0167</x:v>
      </x:c>
      <x:c r="B168" s="49" t="str">
        <x:v>GSA-003</x:v>
      </x:c>
      <x:c r="C168" s="49" t="str">
        <x:v>Granite Used Auto Center of Merrimack</x:v>
      </x:c>
      <x:c r="D168" s="245" t="n">
        <x:v>46236</x:v>
      </x:c>
      <x:c r="E168" s="49" t="str">
        <x:v>GSA003-20260802-001</x:v>
      </x:c>
      <x:c r="F168" s="49" t="str">
        <x:v>sanitized_public_inventory_reference</x:v>
      </x:c>
      <x:c r="G168" s="49" t="str">
        <x:v>Used</x:v>
      </x:c>
      <x:c r="H168" s="249" t="n">
        <x:v>2019</x:v>
      </x:c>
      <x:c r="I168" s="49" t="str">
        <x:v>Ford</x:v>
      </x:c>
      <x:c r="J168" s="49" t="str">
        <x:v>F-150</x:v>
      </x:c>
      <x:c r="K168" s="49" t="str">
        <x:v>Lariat</x:v>
      </x:c>
      <x:c r="L168" s="49" t="str">
        <x:v>2019 Ford F-150 Lariat</x:v>
      </x:c>
      <x:c r="M168" s="253"/>
      <x:c r="N168" s="257"/>
      <x:c r="O168" s="49" t="str">
        <x:v>Price not exposed</x:v>
      </x:c>
      <x:c r="P168" s="49" t="str">
        <x:v>VEH-0C88CE833957</x:v>
      </x:c>
      <x:c r="Q168" s="49" t="str">
        <x:v>ARPI0C88CE833957E</x:v>
      </x:c>
      <x:c r="R168" s="249" t="n">
        <x:v>1</x:v>
      </x:c>
      <x:c r="S168" s="49" t="str">
        <x:v>Sanitized public reference data</x:v>
      </x:c>
    </x:row>
    <x:row r="169" ht="20" customHeight="1">
      <x:c r="A169" s="49" t="str">
        <x:v>GSA003-20260802-0168</x:v>
      </x:c>
      <x:c r="B169" s="49" t="str">
        <x:v>GSA-003</x:v>
      </x:c>
      <x:c r="C169" s="49" t="str">
        <x:v>Granite Used Auto Center of Merrimack</x:v>
      </x:c>
      <x:c r="D169" s="245" t="n">
        <x:v>46236</x:v>
      </x:c>
      <x:c r="E169" s="49" t="str">
        <x:v>GSA003-20260802-001</x:v>
      </x:c>
      <x:c r="F169" s="49" t="str">
        <x:v>sanitized_public_inventory_reference</x:v>
      </x:c>
      <x:c r="G169" s="49" t="str">
        <x:v>Used</x:v>
      </x:c>
      <x:c r="H169" s="249" t="n">
        <x:v>2010</x:v>
      </x:c>
      <x:c r="I169" s="49" t="str">
        <x:v>Lexus</x:v>
      </x:c>
      <x:c r="J169" s="49" t="str">
        <x:v>RX 350</x:v>
      </x:c>
      <x:c r="K169" s="49" t="str"/>
      <x:c r="L169" s="49" t="str">
        <x:v>2010 Lexus RX 350</x:v>
      </x:c>
      <x:c r="M169" s="253"/>
      <x:c r="N169" s="257"/>
      <x:c r="O169" s="49" t="str">
        <x:v>Price not exposed</x:v>
      </x:c>
      <x:c r="P169" s="49" t="str">
        <x:v>VEH-4170E9F2DC54</x:v>
      </x:c>
      <x:c r="Q169" s="49" t="str">
        <x:v>ARPI4170E9F2DC548</x:v>
      </x:c>
      <x:c r="R169" s="249" t="n">
        <x:v>1</x:v>
      </x:c>
      <x:c r="S169" s="49" t="str">
        <x:v>Sanitized public reference data</x:v>
      </x:c>
    </x:row>
    <x:row r="170" ht="20" customHeight="1">
      <x:c r="A170" s="49" t="str">
        <x:v>GSA003-20260802-0169</x:v>
      </x:c>
      <x:c r="B170" s="49" t="str">
        <x:v>GSA-003</x:v>
      </x:c>
      <x:c r="C170" s="49" t="str">
        <x:v>Granite Used Auto Center of Merrimack</x:v>
      </x:c>
      <x:c r="D170" s="245" t="n">
        <x:v>46236</x:v>
      </x:c>
      <x:c r="E170" s="49" t="str">
        <x:v>GSA003-20260802-001</x:v>
      </x:c>
      <x:c r="F170" s="49" t="str">
        <x:v>sanitized_public_inventory_reference</x:v>
      </x:c>
      <x:c r="G170" s="49" t="str">
        <x:v>Used</x:v>
      </x:c>
      <x:c r="H170" s="249" t="n">
        <x:v>2014</x:v>
      </x:c>
      <x:c r="I170" s="49" t="str">
        <x:v>Honda</x:v>
      </x:c>
      <x:c r="J170" s="49" t="str">
        <x:v>Civic</x:v>
      </x:c>
      <x:c r="K170" s="49" t="str">
        <x:v>LX</x:v>
      </x:c>
      <x:c r="L170" s="49" t="str">
        <x:v>2014 Honda Civic LX</x:v>
      </x:c>
      <x:c r="M170" s="253"/>
      <x:c r="N170" s="257"/>
      <x:c r="O170" s="49" t="str">
        <x:v>Price not exposed</x:v>
      </x:c>
      <x:c r="P170" s="49" t="str">
        <x:v>VEH-9BE75285DA4A</x:v>
      </x:c>
      <x:c r="Q170" s="49" t="str">
        <x:v>ARPI9BE75285DA4A4</x:v>
      </x:c>
      <x:c r="R170" s="249" t="n">
        <x:v>1</x:v>
      </x:c>
      <x:c r="S170" s="49" t="str">
        <x:v>Sanitized public reference data</x:v>
      </x:c>
    </x:row>
    <x:row r="171" ht="20" customHeight="1">
      <x:c r="A171" s="49" t="str">
        <x:v>GSA003-20260802-0170</x:v>
      </x:c>
      <x:c r="B171" s="49" t="str">
        <x:v>GSA-003</x:v>
      </x:c>
      <x:c r="C171" s="49" t="str">
        <x:v>Granite Used Auto Center of Merrimack</x:v>
      </x:c>
      <x:c r="D171" s="245" t="n">
        <x:v>46236</x:v>
      </x:c>
      <x:c r="E171" s="49" t="str">
        <x:v>GSA003-20260802-001</x:v>
      </x:c>
      <x:c r="F171" s="49" t="str">
        <x:v>sanitized_public_inventory_reference</x:v>
      </x:c>
      <x:c r="G171" s="49" t="str">
        <x:v>Used</x:v>
      </x:c>
      <x:c r="H171" s="249" t="n">
        <x:v>2023</x:v>
      </x:c>
      <x:c r="I171" s="49" t="str">
        <x:v>Subaru</x:v>
      </x:c>
      <x:c r="J171" s="49" t="str">
        <x:v>Legacy</x:v>
      </x:c>
      <x:c r="K171" s="49" t="str">
        <x:v>Premium</x:v>
      </x:c>
      <x:c r="L171" s="49" t="str">
        <x:v>2023 Subaru Legacy Premium</x:v>
      </x:c>
      <x:c r="M171" s="253"/>
      <x:c r="N171" s="257"/>
      <x:c r="O171" s="49" t="str">
        <x:v>Price not exposed</x:v>
      </x:c>
      <x:c r="P171" s="49" t="str">
        <x:v>VEH-77FB5EB57392</x:v>
      </x:c>
      <x:c r="Q171" s="49" t="str">
        <x:v>ARPI77FB5EB57392C</x:v>
      </x:c>
      <x:c r="R171" s="249" t="n">
        <x:v>1</x:v>
      </x:c>
      <x:c r="S171" s="49" t="str">
        <x:v>Sanitized public reference data</x:v>
      </x:c>
    </x:row>
    <x:row r="172" ht="20" customHeight="1">
      <x:c r="A172" s="49" t="str">
        <x:v>GSA003-20260802-0171</x:v>
      </x:c>
      <x:c r="B172" s="49" t="str">
        <x:v>GSA-003</x:v>
      </x:c>
      <x:c r="C172" s="49" t="str">
        <x:v>Granite Used Auto Center of Merrimack</x:v>
      </x:c>
      <x:c r="D172" s="245" t="n">
        <x:v>46236</x:v>
      </x:c>
      <x:c r="E172" s="49" t="str">
        <x:v>GSA003-20260802-001</x:v>
      </x:c>
      <x:c r="F172" s="49" t="str">
        <x:v>sanitized_public_inventory_reference</x:v>
      </x:c>
      <x:c r="G172" s="49" t="str">
        <x:v>Used</x:v>
      </x:c>
      <x:c r="H172" s="249" t="n">
        <x:v>2020</x:v>
      </x:c>
      <x:c r="I172" s="49" t="str">
        <x:v>Toyota</x:v>
      </x:c>
      <x:c r="J172" s="49" t="str">
        <x:v>Highlander</x:v>
      </x:c>
      <x:c r="K172" s="49" t="str">
        <x:v>XLE</x:v>
      </x:c>
      <x:c r="L172" s="49" t="str">
        <x:v>2020 Toyota Highlander XLE</x:v>
      </x:c>
      <x:c r="M172" s="253"/>
      <x:c r="N172" s="257"/>
      <x:c r="O172" s="49" t="str">
        <x:v>Price not exposed</x:v>
      </x:c>
      <x:c r="P172" s="49" t="str">
        <x:v>VEH-30D5434E79C5</x:v>
      </x:c>
      <x:c r="Q172" s="49" t="str">
        <x:v>ARPI30D5434E79C59</x:v>
      </x:c>
      <x:c r="R172" s="249" t="n">
        <x:v>1</x:v>
      </x:c>
      <x:c r="S172" s="49" t="str">
        <x:v>Sanitized public reference data</x:v>
      </x:c>
    </x:row>
    <x:row r="173" ht="20" customHeight="1">
      <x:c r="A173" s="49" t="str">
        <x:v>GSA003-20260802-0172</x:v>
      </x:c>
      <x:c r="B173" s="49" t="str">
        <x:v>GSA-003</x:v>
      </x:c>
      <x:c r="C173" s="49" t="str">
        <x:v>Granite Used Auto Center of Merrimack</x:v>
      </x:c>
      <x:c r="D173" s="245" t="n">
        <x:v>46236</x:v>
      </x:c>
      <x:c r="E173" s="49" t="str">
        <x:v>GSA003-20260802-001</x:v>
      </x:c>
      <x:c r="F173" s="49" t="str">
        <x:v>sanitized_public_inventory_reference</x:v>
      </x:c>
      <x:c r="G173" s="49" t="str">
        <x:v>Used</x:v>
      </x:c>
      <x:c r="H173" s="249" t="n">
        <x:v>2014</x:v>
      </x:c>
      <x:c r="I173" s="49" t="str">
        <x:v>Ram</x:v>
      </x:c>
      <x:c r="J173" s="49" t="str">
        <x:v>1500</x:v>
      </x:c>
      <x:c r="K173" s="49" t="str">
        <x:v>Sport</x:v>
      </x:c>
      <x:c r="L173" s="49" t="str">
        <x:v>2014 Ram 1500 Sport</x:v>
      </x:c>
      <x:c r="M173" s="253"/>
      <x:c r="N173" s="257"/>
      <x:c r="O173" s="49" t="str">
        <x:v>Price not exposed</x:v>
      </x:c>
      <x:c r="P173" s="49" t="str">
        <x:v>VEH-B0FEE94D0AB0</x:v>
      </x:c>
      <x:c r="Q173" s="49" t="str">
        <x:v>ARPIB0FEE94D0AB0D</x:v>
      </x:c>
      <x:c r="R173" s="249" t="n">
        <x:v>1</x:v>
      </x:c>
      <x:c r="S173" s="49" t="str">
        <x:v>Sanitized public reference data</x:v>
      </x:c>
    </x:row>
    <x:row r="174" ht="20" customHeight="1">
      <x:c r="A174" s="49" t="str">
        <x:v>GSA003-20260802-0173</x:v>
      </x:c>
      <x:c r="B174" s="49" t="str">
        <x:v>GSA-003</x:v>
      </x:c>
      <x:c r="C174" s="49" t="str">
        <x:v>Granite Used Auto Center of Merrimack</x:v>
      </x:c>
      <x:c r="D174" s="245" t="n">
        <x:v>46236</x:v>
      </x:c>
      <x:c r="E174" s="49" t="str">
        <x:v>GSA003-20260802-001</x:v>
      </x:c>
      <x:c r="F174" s="49" t="str">
        <x:v>sanitized_public_inventory_reference</x:v>
      </x:c>
      <x:c r="G174" s="49" t="str">
        <x:v>Used</x:v>
      </x:c>
      <x:c r="H174" s="249" t="n">
        <x:v>2020</x:v>
      </x:c>
      <x:c r="I174" s="49" t="str">
        <x:v>Chevrolet</x:v>
      </x:c>
      <x:c r="J174" s="49" t="str">
        <x:v>Equinox</x:v>
      </x:c>
      <x:c r="K174" s="49" t="str">
        <x:v>LT</x:v>
      </x:c>
      <x:c r="L174" s="49" t="str">
        <x:v>2020 Chevrolet Equinox LT</x:v>
      </x:c>
      <x:c r="M174" s="253"/>
      <x:c r="N174" s="257"/>
      <x:c r="O174" s="49" t="str">
        <x:v>Price not exposed</x:v>
      </x:c>
      <x:c r="P174" s="49" t="str">
        <x:v>VEH-90F2BD04AA25</x:v>
      </x:c>
      <x:c r="Q174" s="49" t="str">
        <x:v>ARPI90F2BD04AA254</x:v>
      </x:c>
      <x:c r="R174" s="249" t="n">
        <x:v>1</x:v>
      </x:c>
      <x:c r="S174" s="49" t="str">
        <x:v>Sanitized public reference data</x:v>
      </x:c>
    </x:row>
    <x:row r="175" ht="20" customHeight="1">
      <x:c r="A175" s="49" t="str">
        <x:v>GSA003-20260802-0174</x:v>
      </x:c>
      <x:c r="B175" s="49" t="str">
        <x:v>GSA-003</x:v>
      </x:c>
      <x:c r="C175" s="49" t="str">
        <x:v>Granite Used Auto Center of Merrimack</x:v>
      </x:c>
      <x:c r="D175" s="245" t="n">
        <x:v>46236</x:v>
      </x:c>
      <x:c r="E175" s="49" t="str">
        <x:v>GSA003-20260802-001</x:v>
      </x:c>
      <x:c r="F175" s="49" t="str">
        <x:v>sanitized_public_inventory_reference</x:v>
      </x:c>
      <x:c r="G175" s="49" t="str">
        <x:v>Used</x:v>
      </x:c>
      <x:c r="H175" s="249" t="n">
        <x:v>2024</x:v>
      </x:c>
      <x:c r="I175" s="49" t="str">
        <x:v>Jeep</x:v>
      </x:c>
      <x:c r="J175" s="49" t="str">
        <x:v>Compass</x:v>
      </x:c>
      <x:c r="K175" s="49" t="str">
        <x:v>Limited</x:v>
      </x:c>
      <x:c r="L175" s="49" t="str">
        <x:v>2024 Jeep Compass Limited</x:v>
      </x:c>
      <x:c r="M175" s="253"/>
      <x:c r="N175" s="257"/>
      <x:c r="O175" s="49" t="str">
        <x:v>Price not exposed</x:v>
      </x:c>
      <x:c r="P175" s="49" t="str">
        <x:v>VEH-11F3B21B4F1B</x:v>
      </x:c>
      <x:c r="Q175" s="49" t="str">
        <x:v>ARPI11F3B21B4F1BF</x:v>
      </x:c>
      <x:c r="R175" s="249" t="n">
        <x:v>1</x:v>
      </x:c>
      <x:c r="S175" s="49" t="str">
        <x:v>Sanitized public reference data</x:v>
      </x:c>
    </x:row>
    <x:row r="176" ht="20" customHeight="1">
      <x:c r="A176" s="49" t="str">
        <x:v>GSA003-20260802-0175</x:v>
      </x:c>
      <x:c r="B176" s="49" t="str">
        <x:v>GSA-003</x:v>
      </x:c>
      <x:c r="C176" s="49" t="str">
        <x:v>Granite Used Auto Center of Merrimack</x:v>
      </x:c>
      <x:c r="D176" s="245" t="n">
        <x:v>46236</x:v>
      </x:c>
      <x:c r="E176" s="49" t="str">
        <x:v>GSA003-20260802-001</x:v>
      </x:c>
      <x:c r="F176" s="49" t="str">
        <x:v>sanitized_public_inventory_reference</x:v>
      </x:c>
      <x:c r="G176" s="49" t="str">
        <x:v>Used</x:v>
      </x:c>
      <x:c r="H176" s="249" t="n">
        <x:v>2021</x:v>
      </x:c>
      <x:c r="I176" s="49" t="str">
        <x:v>Chevrolet</x:v>
      </x:c>
      <x:c r="J176" s="49" t="str">
        <x:v>Colorado</x:v>
      </x:c>
      <x:c r="K176" s="49" t="str">
        <x:v>Z71</x:v>
      </x:c>
      <x:c r="L176" s="49" t="str">
        <x:v>2021 Chevrolet Colorado Z71</x:v>
      </x:c>
      <x:c r="M176" s="253"/>
      <x:c r="N176" s="257"/>
      <x:c r="O176" s="49" t="str">
        <x:v>Price not exposed</x:v>
      </x:c>
      <x:c r="P176" s="49" t="str">
        <x:v>VEH-CFAFDD11DED0</x:v>
      </x:c>
      <x:c r="Q176" s="49" t="str">
        <x:v>ARPICFAFDD11DED02</x:v>
      </x:c>
      <x:c r="R176" s="249" t="n">
        <x:v>1</x:v>
      </x:c>
      <x:c r="S176" s="49" t="str">
        <x:v>Sanitized public reference data</x:v>
      </x:c>
    </x:row>
    <x:row r="177" ht="20" customHeight="1">
      <x:c r="A177" s="49" t="str">
        <x:v>GSA003-20260802-0176</x:v>
      </x:c>
      <x:c r="B177" s="49" t="str">
        <x:v>GSA-003</x:v>
      </x:c>
      <x:c r="C177" s="49" t="str">
        <x:v>Granite Used Auto Center of Merrimack</x:v>
      </x:c>
      <x:c r="D177" s="245" t="n">
        <x:v>46236</x:v>
      </x:c>
      <x:c r="E177" s="49" t="str">
        <x:v>GSA003-20260802-001</x:v>
      </x:c>
      <x:c r="F177" s="49" t="str">
        <x:v>sanitized_public_inventory_reference</x:v>
      </x:c>
      <x:c r="G177" s="49" t="str">
        <x:v>Used</x:v>
      </x:c>
      <x:c r="H177" s="249" t="n">
        <x:v>2023</x:v>
      </x:c>
      <x:c r="I177" s="49" t="str">
        <x:v>Volvo</x:v>
      </x:c>
      <x:c r="J177" s="49" t="str">
        <x:v>XC60</x:v>
      </x:c>
      <x:c r="K177" s="49" t="str">
        <x:v>B5 Plus Dark Theme</x:v>
      </x:c>
      <x:c r="L177" s="49" t="str">
        <x:v>2023 Volvo XC60 B5 Plus Dark Theme</x:v>
      </x:c>
      <x:c r="M177" s="253"/>
      <x:c r="N177" s="257"/>
      <x:c r="O177" s="49" t="str">
        <x:v>Price not exposed</x:v>
      </x:c>
      <x:c r="P177" s="49" t="str">
        <x:v>VEH-DD28C544DD05</x:v>
      </x:c>
      <x:c r="Q177" s="49" t="str">
        <x:v>ARPIDD28C544DD055</x:v>
      </x:c>
      <x:c r="R177" s="249" t="n">
        <x:v>1</x:v>
      </x:c>
      <x:c r="S177" s="49" t="str">
        <x:v>Sanitized public reference data</x:v>
      </x:c>
    </x:row>
    <x:row r="178" ht="20" customHeight="1">
      <x:c r="A178" s="49" t="str">
        <x:v>GSA003-20260802-0177</x:v>
      </x:c>
      <x:c r="B178" s="49" t="str">
        <x:v>GSA-003</x:v>
      </x:c>
      <x:c r="C178" s="49" t="str">
        <x:v>Granite Used Auto Center of Merrimack</x:v>
      </x:c>
      <x:c r="D178" s="245" t="n">
        <x:v>46236</x:v>
      </x:c>
      <x:c r="E178" s="49" t="str">
        <x:v>GSA003-20260802-001</x:v>
      </x:c>
      <x:c r="F178" s="49" t="str">
        <x:v>sanitized_public_inventory_reference</x:v>
      </x:c>
      <x:c r="G178" s="49" t="str">
        <x:v>Used</x:v>
      </x:c>
      <x:c r="H178" s="249" t="n">
        <x:v>2022</x:v>
      </x:c>
      <x:c r="I178" s="49" t="str">
        <x:v>Ford</x:v>
      </x:c>
      <x:c r="J178" s="49" t="str">
        <x:v>Mustang Mach-E</x:v>
      </x:c>
      <x:c r="K178" s="49" t="str">
        <x:v>GT</x:v>
      </x:c>
      <x:c r="L178" s="49" t="str">
        <x:v>2022 Ford Mustang Mach-E GT</x:v>
      </x:c>
      <x:c r="M178" s="253"/>
      <x:c r="N178" s="257"/>
      <x:c r="O178" s="49" t="str">
        <x:v>Price not exposed</x:v>
      </x:c>
      <x:c r="P178" s="49" t="str">
        <x:v>VEH-6EBB658E6853</x:v>
      </x:c>
      <x:c r="Q178" s="49" t="str">
        <x:v>ARPI6EBB658E68530</x:v>
      </x:c>
      <x:c r="R178" s="249" t="n">
        <x:v>1</x:v>
      </x:c>
      <x:c r="S178" s="49" t="str">
        <x:v>Sanitized public reference data</x:v>
      </x:c>
    </x:row>
    <x:row r="179" ht="20" customHeight="1">
      <x:c r="A179" s="49" t="str">
        <x:v>GSA003-20260802-0178</x:v>
      </x:c>
      <x:c r="B179" s="49" t="str">
        <x:v>GSA-003</x:v>
      </x:c>
      <x:c r="C179" s="49" t="str">
        <x:v>Granite Used Auto Center of Merrimack</x:v>
      </x:c>
      <x:c r="D179" s="245" t="n">
        <x:v>46236</x:v>
      </x:c>
      <x:c r="E179" s="49" t="str">
        <x:v>GSA003-20260802-001</x:v>
      </x:c>
      <x:c r="F179" s="49" t="str">
        <x:v>sanitized_public_inventory_reference</x:v>
      </x:c>
      <x:c r="G179" s="49" t="str">
        <x:v>Used</x:v>
      </x:c>
      <x:c r="H179" s="249" t="n">
        <x:v>2023</x:v>
      </x:c>
      <x:c r="I179" s="49" t="str">
        <x:v>Chrysler</x:v>
      </x:c>
      <x:c r="J179" s="49" t="str">
        <x:v>Pacifica</x:v>
      </x:c>
      <x:c r="K179" s="49" t="str">
        <x:v>Touring L</x:v>
      </x:c>
      <x:c r="L179" s="49" t="str">
        <x:v>2023 Chrysler Pacifica Touring L</x:v>
      </x:c>
      <x:c r="M179" s="253"/>
      <x:c r="N179" s="257"/>
      <x:c r="O179" s="49" t="str">
        <x:v>Price not exposed</x:v>
      </x:c>
      <x:c r="P179" s="49" t="str">
        <x:v>VEH-201B48FE15E9</x:v>
      </x:c>
      <x:c r="Q179" s="49" t="str">
        <x:v>ARPI201B48FE15E9E</x:v>
      </x:c>
      <x:c r="R179" s="249" t="n">
        <x:v>1</x:v>
      </x:c>
      <x:c r="S179" s="49" t="str">
        <x:v>Sanitized public reference data</x:v>
      </x:c>
    </x:row>
    <x:row r="180" ht="20" customHeight="1">
      <x:c r="A180" s="49" t="str">
        <x:v>GSA003-20260802-0179</x:v>
      </x:c>
      <x:c r="B180" s="49" t="str">
        <x:v>GSA-003</x:v>
      </x:c>
      <x:c r="C180" s="49" t="str">
        <x:v>Granite Used Auto Center of Merrimack</x:v>
      </x:c>
      <x:c r="D180" s="245" t="n">
        <x:v>46236</x:v>
      </x:c>
      <x:c r="E180" s="49" t="str">
        <x:v>GSA003-20260802-001</x:v>
      </x:c>
      <x:c r="F180" s="49" t="str">
        <x:v>sanitized_public_inventory_reference</x:v>
      </x:c>
      <x:c r="G180" s="49" t="str">
        <x:v>Used</x:v>
      </x:c>
      <x:c r="H180" s="249" t="n">
        <x:v>2021</x:v>
      </x:c>
      <x:c r="I180" s="49" t="str">
        <x:v>Ram</x:v>
      </x:c>
      <x:c r="J180" s="49" t="str">
        <x:v>1500</x:v>
      </x:c>
      <x:c r="K180" s="49" t="str">
        <x:v>Big Horn/Lone Star</x:v>
      </x:c>
      <x:c r="L180" s="49" t="str">
        <x:v>2021 Ram 1500 Big Horn/Lone Star</x:v>
      </x:c>
      <x:c r="M180" s="253"/>
      <x:c r="N180" s="257"/>
      <x:c r="O180" s="49" t="str">
        <x:v>Price not exposed</x:v>
      </x:c>
      <x:c r="P180" s="49" t="str">
        <x:v>VEH-E9F7F29D75BC</x:v>
      </x:c>
      <x:c r="Q180" s="49" t="str">
        <x:v>ARPIE9F7F29D75BC6</x:v>
      </x:c>
      <x:c r="R180" s="249" t="n">
        <x:v>1</x:v>
      </x:c>
      <x:c r="S180" s="49" t="str">
        <x:v>Sanitized public reference data</x:v>
      </x:c>
    </x:row>
    <x:row r="181" ht="20" customHeight="1">
      <x:c r="A181" s="49" t="str">
        <x:v>GSA003-20260802-0180</x:v>
      </x:c>
      <x:c r="B181" s="49" t="str">
        <x:v>GSA-003</x:v>
      </x:c>
      <x:c r="C181" s="49" t="str">
        <x:v>Granite Used Auto Center of Merrimack</x:v>
      </x:c>
      <x:c r="D181" s="245" t="n">
        <x:v>46236</x:v>
      </x:c>
      <x:c r="E181" s="49" t="str">
        <x:v>GSA003-20260802-001</x:v>
      </x:c>
      <x:c r="F181" s="49" t="str">
        <x:v>sanitized_public_inventory_reference</x:v>
      </x:c>
      <x:c r="G181" s="49" t="str">
        <x:v>Used</x:v>
      </x:c>
      <x:c r="H181" s="249" t="n">
        <x:v>2021</x:v>
      </x:c>
      <x:c r="I181" s="49" t="str">
        <x:v>Dodge</x:v>
      </x:c>
      <x:c r="J181" s="49" t="str">
        <x:v>Charger</x:v>
      </x:c>
      <x:c r="K181" s="49" t="str">
        <x:v>SXT</x:v>
      </x:c>
      <x:c r="L181" s="49" t="str">
        <x:v>2021 Dodge Charger SXT</x:v>
      </x:c>
      <x:c r="M181" s="253"/>
      <x:c r="N181" s="257"/>
      <x:c r="O181" s="49" t="str">
        <x:v>Price not exposed</x:v>
      </x:c>
      <x:c r="P181" s="49" t="str">
        <x:v>VEH-2126E841E577</x:v>
      </x:c>
      <x:c r="Q181" s="49" t="str">
        <x:v>ARPI2126E841E577C</x:v>
      </x:c>
      <x:c r="R181" s="249" t="n">
        <x:v>1</x:v>
      </x:c>
      <x:c r="S181" s="49" t="str">
        <x:v>Sanitized public reference data</x:v>
      </x:c>
    </x:row>
    <x:row r="182" ht="20" customHeight="1">
      <x:c r="A182" s="49" t="str">
        <x:v>GSA003-20260802-0181</x:v>
      </x:c>
      <x:c r="B182" s="49" t="str">
        <x:v>GSA-003</x:v>
      </x:c>
      <x:c r="C182" s="49" t="str">
        <x:v>Granite Used Auto Center of Merrimack</x:v>
      </x:c>
      <x:c r="D182" s="245" t="n">
        <x:v>46236</x:v>
      </x:c>
      <x:c r="E182" s="49" t="str">
        <x:v>GSA003-20260802-001</x:v>
      </x:c>
      <x:c r="F182" s="49" t="str">
        <x:v>sanitized_public_inventory_reference</x:v>
      </x:c>
      <x:c r="G182" s="49" t="str">
        <x:v>Used</x:v>
      </x:c>
      <x:c r="H182" s="249" t="n">
        <x:v>2022</x:v>
      </x:c>
      <x:c r="I182" s="49" t="str">
        <x:v>Dodge</x:v>
      </x:c>
      <x:c r="J182" s="49" t="str">
        <x:v>Durango</x:v>
      </x:c>
      <x:c r="K182" s="49" t="str">
        <x:v>SXT</x:v>
      </x:c>
      <x:c r="L182" s="49" t="str">
        <x:v>2022 Dodge Durango SXT</x:v>
      </x:c>
      <x:c r="M182" s="253"/>
      <x:c r="N182" s="257"/>
      <x:c r="O182" s="49" t="str">
        <x:v>Price not exposed</x:v>
      </x:c>
      <x:c r="P182" s="49" t="str">
        <x:v>VEH-A303295F0687</x:v>
      </x:c>
      <x:c r="Q182" s="49" t="str">
        <x:v>ARPIA303295F06876</x:v>
      </x:c>
      <x:c r="R182" s="249" t="n">
        <x:v>1</x:v>
      </x:c>
      <x:c r="S182" s="49" t="str">
        <x:v>Sanitized public reference data</x:v>
      </x:c>
    </x:row>
    <x:row r="183" ht="20" customHeight="1">
      <x:c r="A183" s="49" t="str">
        <x:v>GSA003-20260802-0182</x:v>
      </x:c>
      <x:c r="B183" s="49" t="str">
        <x:v>GSA-003</x:v>
      </x:c>
      <x:c r="C183" s="49" t="str">
        <x:v>Granite Used Auto Center of Merrimack</x:v>
      </x:c>
      <x:c r="D183" s="245" t="n">
        <x:v>46236</x:v>
      </x:c>
      <x:c r="E183" s="49" t="str">
        <x:v>GSA003-20260802-001</x:v>
      </x:c>
      <x:c r="F183" s="49" t="str">
        <x:v>sanitized_public_inventory_reference</x:v>
      </x:c>
      <x:c r="G183" s="49" t="str">
        <x:v>Used</x:v>
      </x:c>
      <x:c r="H183" s="249" t="n">
        <x:v>2021</x:v>
      </x:c>
      <x:c r="I183" s="49" t="str">
        <x:v>Nissan</x:v>
      </x:c>
      <x:c r="J183" s="49" t="str">
        <x:v>Titan</x:v>
      </x:c>
      <x:c r="K183" s="49" t="str">
        <x:v>S</x:v>
      </x:c>
      <x:c r="L183" s="49" t="str">
        <x:v>2021 Nissan Titan S</x:v>
      </x:c>
      <x:c r="M183" s="253"/>
      <x:c r="N183" s="257"/>
      <x:c r="O183" s="49" t="str">
        <x:v>Price not exposed</x:v>
      </x:c>
      <x:c r="P183" s="49" t="str">
        <x:v>VEH-DB820462346B</x:v>
      </x:c>
      <x:c r="Q183" s="49" t="str">
        <x:v>ARPIDB820462346BB</x:v>
      </x:c>
      <x:c r="R183" s="249" t="n">
        <x:v>1</x:v>
      </x:c>
      <x:c r="S183" s="49" t="str">
        <x:v>Sanitized public reference data</x:v>
      </x:c>
    </x:row>
    <x:row r="184" ht="20" customHeight="1">
      <x:c r="A184" s="49" t="str">
        <x:v>GSA003-20260802-0183</x:v>
      </x:c>
      <x:c r="B184" s="49" t="str">
        <x:v>GSA-003</x:v>
      </x:c>
      <x:c r="C184" s="49" t="str">
        <x:v>Granite Used Auto Center of Merrimack</x:v>
      </x:c>
      <x:c r="D184" s="245" t="n">
        <x:v>46236</x:v>
      </x:c>
      <x:c r="E184" s="49" t="str">
        <x:v>GSA003-20260802-001</x:v>
      </x:c>
      <x:c r="F184" s="49" t="str">
        <x:v>sanitized_public_inventory_reference</x:v>
      </x:c>
      <x:c r="G184" s="49" t="str">
        <x:v>Used</x:v>
      </x:c>
      <x:c r="H184" s="249" t="n">
        <x:v>2024</x:v>
      </x:c>
      <x:c r="I184" s="49" t="str">
        <x:v>Volkswagen</x:v>
      </x:c>
      <x:c r="J184" s="49" t="str">
        <x:v>Atlas</x:v>
      </x:c>
      <x:c r="K184" s="49" t="str">
        <x:v>2.0T SE w/Technology</x:v>
      </x:c>
      <x:c r="L184" s="49" t="str">
        <x:v>2024 Volkswagen Atlas 2.0T SE w/Technology</x:v>
      </x:c>
      <x:c r="M184" s="253"/>
      <x:c r="N184" s="257"/>
      <x:c r="O184" s="49" t="str">
        <x:v>Price not exposed</x:v>
      </x:c>
      <x:c r="P184" s="49" t="str">
        <x:v>VEH-B653F513E36A</x:v>
      </x:c>
      <x:c r="Q184" s="49" t="str">
        <x:v>ARPIB653F513E36A7</x:v>
      </x:c>
      <x:c r="R184" s="249" t="n">
        <x:v>1</x:v>
      </x:c>
      <x:c r="S184" s="49" t="str">
        <x:v>Sanitized public reference data</x:v>
      </x:c>
    </x:row>
    <x:row r="185" ht="20" customHeight="1">
      <x:c r="A185" s="49" t="str">
        <x:v>GSA003-20260802-0184</x:v>
      </x:c>
      <x:c r="B185" s="49" t="str">
        <x:v>GSA-003</x:v>
      </x:c>
      <x:c r="C185" s="49" t="str">
        <x:v>Granite Used Auto Center of Merrimack</x:v>
      </x:c>
      <x:c r="D185" s="245" t="n">
        <x:v>46236</x:v>
      </x:c>
      <x:c r="E185" s="49" t="str">
        <x:v>GSA003-20260802-001</x:v>
      </x:c>
      <x:c r="F185" s="49" t="str">
        <x:v>sanitized_public_inventory_reference</x:v>
      </x:c>
      <x:c r="G185" s="49" t="str">
        <x:v>Used</x:v>
      </x:c>
      <x:c r="H185" s="249" t="n">
        <x:v>2022</x:v>
      </x:c>
      <x:c r="I185" s="49" t="str">
        <x:v>Chevrolet</x:v>
      </x:c>
      <x:c r="J185" s="49" t="str">
        <x:v>Silverado 1500 LTD</x:v>
      </x:c>
      <x:c r="K185" s="49" t="str">
        <x:v>LT</x:v>
      </x:c>
      <x:c r="L185" s="49" t="str">
        <x:v>2022 Chevrolet Silverado 1500 LTD LT</x:v>
      </x:c>
      <x:c r="M185" s="253"/>
      <x:c r="N185" s="257"/>
      <x:c r="O185" s="49" t="str">
        <x:v>Price not exposed</x:v>
      </x:c>
      <x:c r="P185" s="49" t="str">
        <x:v>VEH-A9F51F53F129</x:v>
      </x:c>
      <x:c r="Q185" s="49" t="str">
        <x:v>ARPIA9F51F53F129B</x:v>
      </x:c>
      <x:c r="R185" s="249" t="n">
        <x:v>1</x:v>
      </x:c>
      <x:c r="S185" s="49" t="str">
        <x:v>Sanitized public reference data</x:v>
      </x:c>
    </x:row>
    <x:row r="186" ht="20" customHeight="1">
      <x:c r="A186" s="49" t="str">
        <x:v>GSA003-20260802-0185</x:v>
      </x:c>
      <x:c r="B186" s="49" t="str">
        <x:v>GSA-003</x:v>
      </x:c>
      <x:c r="C186" s="49" t="str">
        <x:v>Granite Used Auto Center of Merrimack</x:v>
      </x:c>
      <x:c r="D186" s="245" t="n">
        <x:v>46236</x:v>
      </x:c>
      <x:c r="E186" s="49" t="str">
        <x:v>GSA003-20260802-001</x:v>
      </x:c>
      <x:c r="F186" s="49" t="str">
        <x:v>sanitized_public_inventory_reference</x:v>
      </x:c>
      <x:c r="G186" s="49" t="str">
        <x:v>Used</x:v>
      </x:c>
      <x:c r="H186" s="249" t="n">
        <x:v>2015</x:v>
      </x:c>
      <x:c r="I186" s="49" t="str">
        <x:v>Acura</x:v>
      </x:c>
      <x:c r="J186" s="49" t="str">
        <x:v>RDX</x:v>
      </x:c>
      <x:c r="K186" s="49" t="str">
        <x:v>Technology Package</x:v>
      </x:c>
      <x:c r="L186" s="49" t="str">
        <x:v>2015 Acura RDX Technology Package</x:v>
      </x:c>
      <x:c r="M186" s="253"/>
      <x:c r="N186" s="257"/>
      <x:c r="O186" s="49" t="str">
        <x:v>Price not exposed</x:v>
      </x:c>
      <x:c r="P186" s="49" t="str">
        <x:v>VEH-E8B6EAA2DE11</x:v>
      </x:c>
      <x:c r="Q186" s="49" t="str">
        <x:v>ARPIE8B6EAA2DE118</x:v>
      </x:c>
      <x:c r="R186" s="249" t="n">
        <x:v>1</x:v>
      </x:c>
      <x:c r="S186" s="49" t="str">
        <x:v>Sanitized public reference data</x:v>
      </x:c>
    </x:row>
    <x:row r="187" ht="20" customHeight="1">
      <x:c r="A187" s="49" t="str">
        <x:v>GSA003-20260802-0186</x:v>
      </x:c>
      <x:c r="B187" s="49" t="str">
        <x:v>GSA-003</x:v>
      </x:c>
      <x:c r="C187" s="49" t="str">
        <x:v>Granite Used Auto Center of Merrimack</x:v>
      </x:c>
      <x:c r="D187" s="245" t="n">
        <x:v>46236</x:v>
      </x:c>
      <x:c r="E187" s="49" t="str">
        <x:v>GSA003-20260802-001</x:v>
      </x:c>
      <x:c r="F187" s="49" t="str">
        <x:v>sanitized_public_inventory_reference</x:v>
      </x:c>
      <x:c r="G187" s="49" t="str">
        <x:v>Used</x:v>
      </x:c>
      <x:c r="H187" s="249" t="n">
        <x:v>2019</x:v>
      </x:c>
      <x:c r="I187" s="49" t="str">
        <x:v>Kia</x:v>
      </x:c>
      <x:c r="J187" s="49" t="str">
        <x:v>Sportage</x:v>
      </x:c>
      <x:c r="K187" s="49" t="str">
        <x:v>LX</x:v>
      </x:c>
      <x:c r="L187" s="49" t="str">
        <x:v>2019 Kia Sportage LX</x:v>
      </x:c>
      <x:c r="M187" s="253"/>
      <x:c r="N187" s="257"/>
      <x:c r="O187" s="49" t="str">
        <x:v>Price not exposed</x:v>
      </x:c>
      <x:c r="P187" s="49" t="str">
        <x:v>VEH-F6EEC5D3B93A</x:v>
      </x:c>
      <x:c r="Q187" s="49" t="str">
        <x:v>ARPIF6EEC5D3B93A3</x:v>
      </x:c>
      <x:c r="R187" s="249" t="n">
        <x:v>1</x:v>
      </x:c>
      <x:c r="S187" s="49" t="str">
        <x:v>Sanitized public reference data</x:v>
      </x:c>
    </x:row>
    <x:row r="188" ht="20" customHeight="1">
      <x:c r="A188" s="49" t="str">
        <x:v>GSA003-20260802-0187</x:v>
      </x:c>
      <x:c r="B188" s="49" t="str">
        <x:v>GSA-003</x:v>
      </x:c>
      <x:c r="C188" s="49" t="str">
        <x:v>Granite Used Auto Center of Merrimack</x:v>
      </x:c>
      <x:c r="D188" s="245" t="n">
        <x:v>46236</x:v>
      </x:c>
      <x:c r="E188" s="49" t="str">
        <x:v>GSA003-20260802-001</x:v>
      </x:c>
      <x:c r="F188" s="49" t="str">
        <x:v>sanitized_public_inventory_reference</x:v>
      </x:c>
      <x:c r="G188" s="49" t="str">
        <x:v>Used</x:v>
      </x:c>
      <x:c r="H188" s="249" t="n">
        <x:v>2019</x:v>
      </x:c>
      <x:c r="I188" s="49" t="str">
        <x:v>Jeep</x:v>
      </x:c>
      <x:c r="J188" s="49" t="str">
        <x:v>Grand Cherokee</x:v>
      </x:c>
      <x:c r="K188" s="49" t="str">
        <x:v>Limited</x:v>
      </x:c>
      <x:c r="L188" s="49" t="str">
        <x:v>2019 Jeep Grand Cherokee Limited</x:v>
      </x:c>
      <x:c r="M188" s="253" t="n">
        <x:v>100990</x:v>
      </x:c>
      <x:c r="N188" s="257" t="n">
        <x:v>16395</x:v>
      </x:c>
      <x:c r="O188" s="49" t="str">
        <x:v>Listed</x:v>
      </x:c>
      <x:c r="P188" s="49" t="str">
        <x:v>VEH-8EB4C2F20062</x:v>
      </x:c>
      <x:c r="Q188" s="49" t="str">
        <x:v>ARPI8EB4C2F200627</x:v>
      </x:c>
      <x:c r="R188" s="249" t="n">
        <x:v>1</x:v>
      </x:c>
      <x:c r="S188" s="49" t="str">
        <x:v>Sanitized public reference data</x:v>
      </x:c>
    </x:row>
    <x:row r="189" ht="20" customHeight="1">
      <x:c r="A189" s="49" t="str">
        <x:v>GSA003-20260802-0188</x:v>
      </x:c>
      <x:c r="B189" s="49" t="str">
        <x:v>GSA-003</x:v>
      </x:c>
      <x:c r="C189" s="49" t="str">
        <x:v>Granite Used Auto Center of Merrimack</x:v>
      </x:c>
      <x:c r="D189" s="245" t="n">
        <x:v>46236</x:v>
      </x:c>
      <x:c r="E189" s="49" t="str">
        <x:v>GSA003-20260802-001</x:v>
      </x:c>
      <x:c r="F189" s="49" t="str">
        <x:v>sanitized_public_inventory_reference</x:v>
      </x:c>
      <x:c r="G189" s="49" t="str">
        <x:v>Used</x:v>
      </x:c>
      <x:c r="H189" s="249" t="n">
        <x:v>2024</x:v>
      </x:c>
      <x:c r="I189" s="49" t="str">
        <x:v>Tesla</x:v>
      </x:c>
      <x:c r="J189" s="49" t="str">
        <x:v>Model 3</x:v>
      </x:c>
      <x:c r="K189" s="49" t="str">
        <x:v>Base</x:v>
      </x:c>
      <x:c r="L189" s="49" t="str">
        <x:v>2024 Tesla Model 3 Base</x:v>
      </x:c>
      <x:c r="M189" s="253"/>
      <x:c r="N189" s="257"/>
      <x:c r="O189" s="49" t="str">
        <x:v>Price not exposed</x:v>
      </x:c>
      <x:c r="P189" s="49" t="str">
        <x:v>VEH-0A936B53C087</x:v>
      </x:c>
      <x:c r="Q189" s="49" t="str">
        <x:v>ARPI0A936B53C087C</x:v>
      </x:c>
      <x:c r="R189" s="249" t="n">
        <x:v>1</x:v>
      </x:c>
      <x:c r="S189" s="49" t="str">
        <x:v>Sanitized public reference data</x:v>
      </x:c>
    </x:row>
    <x:row r="190" ht="20" customHeight="1">
      <x:c r="A190" s="49" t="str">
        <x:v>GSA003-20260802-0189</x:v>
      </x:c>
      <x:c r="B190" s="49" t="str">
        <x:v>GSA-003</x:v>
      </x:c>
      <x:c r="C190" s="49" t="str">
        <x:v>Granite Used Auto Center of Merrimack</x:v>
      </x:c>
      <x:c r="D190" s="245" t="n">
        <x:v>46236</x:v>
      </x:c>
      <x:c r="E190" s="49" t="str">
        <x:v>GSA003-20260802-001</x:v>
      </x:c>
      <x:c r="F190" s="49" t="str">
        <x:v>sanitized_public_inventory_reference</x:v>
      </x:c>
      <x:c r="G190" s="49" t="str">
        <x:v>Used</x:v>
      </x:c>
      <x:c r="H190" s="249" t="n">
        <x:v>2022</x:v>
      </x:c>
      <x:c r="I190" s="49" t="str">
        <x:v>GMC</x:v>
      </x:c>
      <x:c r="J190" s="49" t="str">
        <x:v>Canyon</x:v>
      </x:c>
      <x:c r="K190" s="49" t="str">
        <x:v>Elevation</x:v>
      </x:c>
      <x:c r="L190" s="49" t="str">
        <x:v>2022 GMC Canyon Elevation</x:v>
      </x:c>
      <x:c r="M190" s="253"/>
      <x:c r="N190" s="257"/>
      <x:c r="O190" s="49" t="str">
        <x:v>Price not exposed</x:v>
      </x:c>
      <x:c r="P190" s="49" t="str">
        <x:v>VEH-00B931ED8CBF</x:v>
      </x:c>
      <x:c r="Q190" s="49" t="str">
        <x:v>ARPI00B931ED8CBF9</x:v>
      </x:c>
      <x:c r="R190" s="249" t="n">
        <x:v>1</x:v>
      </x:c>
      <x:c r="S190" s="49" t="str">
        <x:v>Sanitized public reference data</x:v>
      </x:c>
    </x:row>
    <x:row r="191" ht="20" customHeight="1">
      <x:c r="A191" s="49" t="str">
        <x:v>GSA003-20260802-0190</x:v>
      </x:c>
      <x:c r="B191" s="49" t="str">
        <x:v>GSA-003</x:v>
      </x:c>
      <x:c r="C191" s="49" t="str">
        <x:v>Granite Used Auto Center of Merrimack</x:v>
      </x:c>
      <x:c r="D191" s="245" t="n">
        <x:v>46236</x:v>
      </x:c>
      <x:c r="E191" s="49" t="str">
        <x:v>GSA003-20260802-001</x:v>
      </x:c>
      <x:c r="F191" s="49" t="str">
        <x:v>sanitized_public_inventory_reference</x:v>
      </x:c>
      <x:c r="G191" s="49" t="str">
        <x:v>Used</x:v>
      </x:c>
      <x:c r="H191" s="249" t="n">
        <x:v>2019</x:v>
      </x:c>
      <x:c r="I191" s="49" t="str">
        <x:v>Nissan</x:v>
      </x:c>
      <x:c r="J191" s="49" t="str">
        <x:v>Rogue</x:v>
      </x:c>
      <x:c r="K191" s="49" t="str">
        <x:v>SV</x:v>
      </x:c>
      <x:c r="L191" s="49" t="str">
        <x:v>2019 Nissan Rogue SV</x:v>
      </x:c>
      <x:c r="M191" s="253"/>
      <x:c r="N191" s="257"/>
      <x:c r="O191" s="49" t="str">
        <x:v>Price not exposed</x:v>
      </x:c>
      <x:c r="P191" s="49" t="str">
        <x:v>VEH-FD422C49A1D6</x:v>
      </x:c>
      <x:c r="Q191" s="49" t="str">
        <x:v>ARPIFD422C49A1D69</x:v>
      </x:c>
      <x:c r="R191" s="249" t="n">
        <x:v>1</x:v>
      </x:c>
      <x:c r="S191" s="49" t="str">
        <x:v>Sanitized public reference data</x:v>
      </x:c>
    </x:row>
    <x:row r="192" ht="20" customHeight="1">
      <x:c r="A192" s="49" t="str">
        <x:v>GSA003-20260802-0191</x:v>
      </x:c>
      <x:c r="B192" s="49" t="str">
        <x:v>GSA-003</x:v>
      </x:c>
      <x:c r="C192" s="49" t="str">
        <x:v>Granite Used Auto Center of Merrimack</x:v>
      </x:c>
      <x:c r="D192" s="245" t="n">
        <x:v>46236</x:v>
      </x:c>
      <x:c r="E192" s="49" t="str">
        <x:v>GSA003-20260802-001</x:v>
      </x:c>
      <x:c r="F192" s="49" t="str">
        <x:v>sanitized_public_inventory_reference</x:v>
      </x:c>
      <x:c r="G192" s="49" t="str">
        <x:v>Used</x:v>
      </x:c>
      <x:c r="H192" s="249" t="n">
        <x:v>2023</x:v>
      </x:c>
      <x:c r="I192" s="49" t="str">
        <x:v>Ford</x:v>
      </x:c>
      <x:c r="J192" s="49" t="str">
        <x:v>F-150</x:v>
      </x:c>
      <x:c r="K192" s="49" t="str">
        <x:v>XLT</x:v>
      </x:c>
      <x:c r="L192" s="49" t="str">
        <x:v>2023 Ford F-150 XLT</x:v>
      </x:c>
      <x:c r="M192" s="253"/>
      <x:c r="N192" s="257"/>
      <x:c r="O192" s="49" t="str">
        <x:v>Price not exposed</x:v>
      </x:c>
      <x:c r="P192" s="49" t="str">
        <x:v>VEH-29A9645DEBFE</x:v>
      </x:c>
      <x:c r="Q192" s="49" t="str">
        <x:v>ARPI29A9645DEBFEA</x:v>
      </x:c>
      <x:c r="R192" s="249" t="n">
        <x:v>1</x:v>
      </x:c>
      <x:c r="S192" s="49" t="str">
        <x:v>Sanitized public reference data</x:v>
      </x:c>
    </x:row>
    <x:row r="193" ht="20" customHeight="1">
      <x:c r="A193" s="49" t="str">
        <x:v>GSA003-20260802-0192</x:v>
      </x:c>
      <x:c r="B193" s="49" t="str">
        <x:v>GSA-003</x:v>
      </x:c>
      <x:c r="C193" s="49" t="str">
        <x:v>Granite Used Auto Center of Merrimack</x:v>
      </x:c>
      <x:c r="D193" s="245" t="n">
        <x:v>46236</x:v>
      </x:c>
      <x:c r="E193" s="49" t="str">
        <x:v>GSA003-20260802-001</x:v>
      </x:c>
      <x:c r="F193" s="49" t="str">
        <x:v>sanitized_public_inventory_reference</x:v>
      </x:c>
      <x:c r="G193" s="49" t="str">
        <x:v>Used</x:v>
      </x:c>
      <x:c r="H193" s="249" t="n">
        <x:v>2022</x:v>
      </x:c>
      <x:c r="I193" s="49" t="str">
        <x:v>GMC</x:v>
      </x:c>
      <x:c r="J193" s="49" t="str">
        <x:v>Sierra 1500</x:v>
      </x:c>
      <x:c r="K193" s="49" t="str">
        <x:v>SLT</x:v>
      </x:c>
      <x:c r="L193" s="49" t="str">
        <x:v>2022 GMC Sierra 1500 SLT</x:v>
      </x:c>
      <x:c r="M193" s="253"/>
      <x:c r="N193" s="257"/>
      <x:c r="O193" s="49" t="str">
        <x:v>Price not exposed</x:v>
      </x:c>
      <x:c r="P193" s="49" t="str">
        <x:v>VEH-988CD74918FE</x:v>
      </x:c>
      <x:c r="Q193" s="49" t="str">
        <x:v>ARPI988CD74918FEC</x:v>
      </x:c>
      <x:c r="R193" s="249" t="n">
        <x:v>1</x:v>
      </x:c>
      <x:c r="S193" s="49" t="str">
        <x:v>Sanitized public reference data</x:v>
      </x:c>
    </x:row>
    <x:row r="194" ht="20" customHeight="1">
      <x:c r="A194" s="49" t="str">
        <x:v>GSA003-20260802-0193</x:v>
      </x:c>
      <x:c r="B194" s="49" t="str">
        <x:v>GSA-003</x:v>
      </x:c>
      <x:c r="C194" s="49" t="str">
        <x:v>Granite Used Auto Center of Merrimack</x:v>
      </x:c>
      <x:c r="D194" s="245" t="n">
        <x:v>46236</x:v>
      </x:c>
      <x:c r="E194" s="49" t="str">
        <x:v>GSA003-20260802-001</x:v>
      </x:c>
      <x:c r="F194" s="49" t="str">
        <x:v>sanitized_public_inventory_reference</x:v>
      </x:c>
      <x:c r="G194" s="49" t="str">
        <x:v>Used</x:v>
      </x:c>
      <x:c r="H194" s="249" t="n">
        <x:v>2011</x:v>
      </x:c>
      <x:c r="I194" s="49" t="str">
        <x:v>Kia</x:v>
      </x:c>
      <x:c r="J194" s="49" t="str">
        <x:v>Sorento</x:v>
      </x:c>
      <x:c r="K194" s="49" t="str">
        <x:v>EX</x:v>
      </x:c>
      <x:c r="L194" s="49" t="str">
        <x:v>2011 Kia Sorento EX</x:v>
      </x:c>
      <x:c r="M194" s="253"/>
      <x:c r="N194" s="257"/>
      <x:c r="O194" s="49" t="str">
        <x:v>Price not exposed</x:v>
      </x:c>
      <x:c r="P194" s="49" t="str">
        <x:v>VEH-834D4C5DF824</x:v>
      </x:c>
      <x:c r="Q194" s="49" t="str">
        <x:v>ARPI834D4C5DF8243</x:v>
      </x:c>
      <x:c r="R194" s="249" t="n">
        <x:v>1</x:v>
      </x:c>
      <x:c r="S194" s="49" t="str">
        <x:v>Sanitized public reference data</x:v>
      </x:c>
    </x:row>
    <x:row r="195" ht="20" customHeight="1">
      <x:c r="A195" s="49" t="str">
        <x:v>GSA003-20260802-0194</x:v>
      </x:c>
      <x:c r="B195" s="49" t="str">
        <x:v>GSA-003</x:v>
      </x:c>
      <x:c r="C195" s="49" t="str">
        <x:v>Granite Used Auto Center of Merrimack</x:v>
      </x:c>
      <x:c r="D195" s="245" t="n">
        <x:v>46236</x:v>
      </x:c>
      <x:c r="E195" s="49" t="str">
        <x:v>GSA003-20260802-001</x:v>
      </x:c>
      <x:c r="F195" s="49" t="str">
        <x:v>sanitized_public_inventory_reference</x:v>
      </x:c>
      <x:c r="G195" s="49" t="str">
        <x:v>Used</x:v>
      </x:c>
      <x:c r="H195" s="249" t="n">
        <x:v>2016</x:v>
      </x:c>
      <x:c r="I195" s="49" t="str">
        <x:v>BMW</x:v>
      </x:c>
      <x:c r="J195" s="49" t="str">
        <x:v>X5</x:v>
      </x:c>
      <x:c r="K195" s="49" t="str">
        <x:v>xDrive35i</x:v>
      </x:c>
      <x:c r="L195" s="49" t="str">
        <x:v>2016 BMW X5 xDrive35i</x:v>
      </x:c>
      <x:c r="M195" s="253"/>
      <x:c r="N195" s="257"/>
      <x:c r="O195" s="49" t="str">
        <x:v>Price not exposed</x:v>
      </x:c>
      <x:c r="P195" s="49" t="str">
        <x:v>VEH-75359CC5427F</x:v>
      </x:c>
      <x:c r="Q195" s="49" t="str">
        <x:v>ARPI75359CC5427F7</x:v>
      </x:c>
      <x:c r="R195" s="249" t="n">
        <x:v>1</x:v>
      </x:c>
      <x:c r="S195" s="49" t="str">
        <x:v>Sanitized public reference data</x:v>
      </x:c>
    </x:row>
    <x:row r="196" ht="20" customHeight="1">
      <x:c r="A196" s="49" t="str">
        <x:v>GSA003-20260802-0195</x:v>
      </x:c>
      <x:c r="B196" s="49" t="str">
        <x:v>GSA-003</x:v>
      </x:c>
      <x:c r="C196" s="49" t="str">
        <x:v>Granite Used Auto Center of Merrimack</x:v>
      </x:c>
      <x:c r="D196" s="245" t="n">
        <x:v>46236</x:v>
      </x:c>
      <x:c r="E196" s="49" t="str">
        <x:v>GSA003-20260802-001</x:v>
      </x:c>
      <x:c r="F196" s="49" t="str">
        <x:v>sanitized_public_inventory_reference</x:v>
      </x:c>
      <x:c r="G196" s="49" t="str">
        <x:v>Used</x:v>
      </x:c>
      <x:c r="H196" s="249" t="n">
        <x:v>2018</x:v>
      </x:c>
      <x:c r="I196" s="49" t="str">
        <x:v>Buick</x:v>
      </x:c>
      <x:c r="J196" s="49" t="str">
        <x:v>Encore</x:v>
      </x:c>
      <x:c r="K196" s="49" t="str">
        <x:v>Preferred</x:v>
      </x:c>
      <x:c r="L196" s="49" t="str">
        <x:v>2018 Buick Encore Preferred</x:v>
      </x:c>
      <x:c r="M196" s="253"/>
      <x:c r="N196" s="257"/>
      <x:c r="O196" s="49" t="str">
        <x:v>Price not exposed</x:v>
      </x:c>
      <x:c r="P196" s="49" t="str">
        <x:v>VEH-50B05C143757</x:v>
      </x:c>
      <x:c r="Q196" s="49" t="str">
        <x:v>ARPI50B05C1437573</x:v>
      </x:c>
      <x:c r="R196" s="249" t="n">
        <x:v>1</x:v>
      </x:c>
      <x:c r="S196" s="49" t="str">
        <x:v>Sanitized public reference data</x:v>
      </x:c>
    </x:row>
    <x:row r="197" ht="20" customHeight="1">
      <x:c r="A197" s="49" t="str">
        <x:v>GSA003-20260802-0196</x:v>
      </x:c>
      <x:c r="B197" s="49" t="str">
        <x:v>GSA-003</x:v>
      </x:c>
      <x:c r="C197" s="49" t="str">
        <x:v>Granite Used Auto Center of Merrimack</x:v>
      </x:c>
      <x:c r="D197" s="245" t="n">
        <x:v>46236</x:v>
      </x:c>
      <x:c r="E197" s="49" t="str">
        <x:v>GSA003-20260802-001</x:v>
      </x:c>
      <x:c r="F197" s="49" t="str">
        <x:v>sanitized_public_inventory_reference</x:v>
      </x:c>
      <x:c r="G197" s="49" t="str">
        <x:v>Used</x:v>
      </x:c>
      <x:c r="H197" s="249" t="n">
        <x:v>2023</x:v>
      </x:c>
      <x:c r="I197" s="49" t="str">
        <x:v>Ford</x:v>
      </x:c>
      <x:c r="J197" s="49" t="str">
        <x:v>Expedition Max</x:v>
      </x:c>
      <x:c r="K197" s="49" t="str">
        <x:v>XLT</x:v>
      </x:c>
      <x:c r="L197" s="49" t="str">
        <x:v>2023 Ford Expedition Max XLT</x:v>
      </x:c>
      <x:c r="M197" s="253"/>
      <x:c r="N197" s="257"/>
      <x:c r="O197" s="49" t="str">
        <x:v>Price not exposed</x:v>
      </x:c>
      <x:c r="P197" s="49" t="str">
        <x:v>VEH-7E8989FC0002</x:v>
      </x:c>
      <x:c r="Q197" s="49" t="str">
        <x:v>ARPI7E8989FC00028</x:v>
      </x:c>
      <x:c r="R197" s="249" t="n">
        <x:v>1</x:v>
      </x:c>
      <x:c r="S197" s="49" t="str">
        <x:v>Sanitized public reference data</x:v>
      </x:c>
    </x:row>
    <x:row r="198" ht="20" customHeight="1">
      <x:c r="A198" s="49" t="str">
        <x:v>GSA003-20260802-0197</x:v>
      </x:c>
      <x:c r="B198" s="49" t="str">
        <x:v>GSA-003</x:v>
      </x:c>
      <x:c r="C198" s="49" t="str">
        <x:v>Granite Used Auto Center of Merrimack</x:v>
      </x:c>
      <x:c r="D198" s="245" t="n">
        <x:v>46236</x:v>
      </x:c>
      <x:c r="E198" s="49" t="str">
        <x:v>GSA003-20260802-001</x:v>
      </x:c>
      <x:c r="F198" s="49" t="str">
        <x:v>sanitized_public_inventory_reference</x:v>
      </x:c>
      <x:c r="G198" s="49" t="str">
        <x:v>Used</x:v>
      </x:c>
      <x:c r="H198" s="249" t="n">
        <x:v>2022</x:v>
      </x:c>
      <x:c r="I198" s="49" t="str">
        <x:v>Ram</x:v>
      </x:c>
      <x:c r="J198" s="49" t="str">
        <x:v>1500 Classic</x:v>
      </x:c>
      <x:c r="K198" s="49" t="str">
        <x:v>Express</x:v>
      </x:c>
      <x:c r="L198" s="49" t="str">
        <x:v>2022 Ram 1500 Classic Express</x:v>
      </x:c>
      <x:c r="M198" s="253"/>
      <x:c r="N198" s="257"/>
      <x:c r="O198" s="49" t="str">
        <x:v>Price not exposed</x:v>
      </x:c>
      <x:c r="P198" s="49" t="str">
        <x:v>VEH-45AC972ED78D</x:v>
      </x:c>
      <x:c r="Q198" s="49" t="str">
        <x:v>ARPI45AC972ED78DD</x:v>
      </x:c>
      <x:c r="R198" s="249" t="n">
        <x:v>1</x:v>
      </x:c>
      <x:c r="S198" s="49" t="str">
        <x:v>Sanitized public reference data</x:v>
      </x:c>
    </x:row>
    <x:row r="199" ht="20" customHeight="1">
      <x:c r="A199" s="49" t="str">
        <x:v>GSA003-20260802-0198</x:v>
      </x:c>
      <x:c r="B199" s="49" t="str">
        <x:v>GSA-003</x:v>
      </x:c>
      <x:c r="C199" s="49" t="str">
        <x:v>Granite Used Auto Center of Merrimack</x:v>
      </x:c>
      <x:c r="D199" s="245" t="n">
        <x:v>46236</x:v>
      </x:c>
      <x:c r="E199" s="49" t="str">
        <x:v>GSA003-20260802-001</x:v>
      </x:c>
      <x:c r="F199" s="49" t="str">
        <x:v>sanitized_public_inventory_reference</x:v>
      </x:c>
      <x:c r="G199" s="49" t="str">
        <x:v>Used</x:v>
      </x:c>
      <x:c r="H199" s="249" t="n">
        <x:v>2024</x:v>
      </x:c>
      <x:c r="I199" s="49" t="str">
        <x:v>Chrysler</x:v>
      </x:c>
      <x:c r="J199" s="49" t="str">
        <x:v>Pacifica</x:v>
      </x:c>
      <x:c r="K199" s="49" t="str">
        <x:v>Limited</x:v>
      </x:c>
      <x:c r="L199" s="49" t="str">
        <x:v>2024 Chrysler Pacifica Limited</x:v>
      </x:c>
      <x:c r="M199" s="253"/>
      <x:c r="N199" s="257"/>
      <x:c r="O199" s="49" t="str">
        <x:v>Price not exposed</x:v>
      </x:c>
      <x:c r="P199" s="49" t="str">
        <x:v>VEH-2B45FF0B5B07</x:v>
      </x:c>
      <x:c r="Q199" s="49" t="str">
        <x:v>ARPI2B45FF0B5B07E</x:v>
      </x:c>
      <x:c r="R199" s="249" t="n">
        <x:v>1</x:v>
      </x:c>
      <x:c r="S199" s="49" t="str">
        <x:v>Sanitized public reference data</x:v>
      </x:c>
    </x:row>
    <x:row r="200" ht="20" customHeight="1">
      <x:c r="A200" s="49" t="str">
        <x:v>GSA003-20260802-0199</x:v>
      </x:c>
      <x:c r="B200" s="49" t="str">
        <x:v>GSA-003</x:v>
      </x:c>
      <x:c r="C200" s="49" t="str">
        <x:v>Granite Used Auto Center of Merrimack</x:v>
      </x:c>
      <x:c r="D200" s="245" t="n">
        <x:v>46236</x:v>
      </x:c>
      <x:c r="E200" s="49" t="str">
        <x:v>GSA003-20260802-001</x:v>
      </x:c>
      <x:c r="F200" s="49" t="str">
        <x:v>sanitized_public_inventory_reference</x:v>
      </x:c>
      <x:c r="G200" s="49" t="str">
        <x:v>Used</x:v>
      </x:c>
      <x:c r="H200" s="249" t="n">
        <x:v>2018</x:v>
      </x:c>
      <x:c r="I200" s="49" t="str">
        <x:v>Ford</x:v>
      </x:c>
      <x:c r="J200" s="49" t="str">
        <x:v>Escape</x:v>
      </x:c>
      <x:c r="K200" s="49" t="str">
        <x:v>Titanium</x:v>
      </x:c>
      <x:c r="L200" s="49" t="str">
        <x:v>2018 Ford Escape Titanium</x:v>
      </x:c>
      <x:c r="M200" s="253"/>
      <x:c r="N200" s="257"/>
      <x:c r="O200" s="49" t="str">
        <x:v>Price not exposed</x:v>
      </x:c>
      <x:c r="P200" s="49" t="str">
        <x:v>VEH-144F0E0C4F65</x:v>
      </x:c>
      <x:c r="Q200" s="49" t="str">
        <x:v>ARPI144F0E0C4F653</x:v>
      </x:c>
      <x:c r="R200" s="249" t="n">
        <x:v>1</x:v>
      </x:c>
      <x:c r="S200" s="49" t="str">
        <x:v>Sanitized public reference data</x:v>
      </x:c>
    </x:row>
    <x:row r="201" ht="20" customHeight="1">
      <x:c r="A201" s="49" t="str">
        <x:v>GSA003-20260802-0200</x:v>
      </x:c>
      <x:c r="B201" s="49" t="str">
        <x:v>GSA-003</x:v>
      </x:c>
      <x:c r="C201" s="49" t="str">
        <x:v>Granite Used Auto Center of Merrimack</x:v>
      </x:c>
      <x:c r="D201" s="245" t="n">
        <x:v>46236</x:v>
      </x:c>
      <x:c r="E201" s="49" t="str">
        <x:v>GSA003-20260802-001</x:v>
      </x:c>
      <x:c r="F201" s="49" t="str">
        <x:v>sanitized_public_inventory_reference</x:v>
      </x:c>
      <x:c r="G201" s="49" t="str">
        <x:v>Used</x:v>
      </x:c>
      <x:c r="H201" s="249" t="n">
        <x:v>2015</x:v>
      </x:c>
      <x:c r="I201" s="49" t="str">
        <x:v>Audi</x:v>
      </x:c>
      <x:c r="J201" s="49" t="str">
        <x:v>Q7</x:v>
      </x:c>
      <x:c r="K201" s="49" t="str">
        <x:v>3.0T Premium</x:v>
      </x:c>
      <x:c r="L201" s="49" t="str">
        <x:v>2015 Audi Q7 3.0T Premium</x:v>
      </x:c>
      <x:c r="M201" s="253"/>
      <x:c r="N201" s="257"/>
      <x:c r="O201" s="49" t="str">
        <x:v>Price not exposed</x:v>
      </x:c>
      <x:c r="P201" s="49" t="str">
        <x:v>VEH-A1560BBC6875</x:v>
      </x:c>
      <x:c r="Q201" s="49" t="str">
        <x:v>ARPIA1560BBC68753</x:v>
      </x:c>
      <x:c r="R201" s="249" t="n">
        <x:v>1</x:v>
      </x:c>
      <x:c r="S201" s="49" t="str">
        <x:v>Sanitized public reference data</x:v>
      </x:c>
    </x:row>
    <x:row r="202" ht="20" customHeight="1">
      <x:c r="A202" s="49" t="str">
        <x:v>GSA003-20260802-0201</x:v>
      </x:c>
      <x:c r="B202" s="49" t="str">
        <x:v>GSA-003</x:v>
      </x:c>
      <x:c r="C202" s="49" t="str">
        <x:v>Granite Used Auto Center of Merrimack</x:v>
      </x:c>
      <x:c r="D202" s="245" t="n">
        <x:v>46236</x:v>
      </x:c>
      <x:c r="E202" s="49" t="str">
        <x:v>GSA003-20260802-001</x:v>
      </x:c>
      <x:c r="F202" s="49" t="str">
        <x:v>sanitized_public_inventory_reference</x:v>
      </x:c>
      <x:c r="G202" s="49" t="str">
        <x:v>Used</x:v>
      </x:c>
      <x:c r="H202" s="249" t="n">
        <x:v>2021</x:v>
      </x:c>
      <x:c r="I202" s="49" t="str">
        <x:v>GMC</x:v>
      </x:c>
      <x:c r="J202" s="49" t="str">
        <x:v>Savana 2500</x:v>
      </x:c>
      <x:c r="K202" s="49" t="str">
        <x:v>Work Van</x:v>
      </x:c>
      <x:c r="L202" s="49" t="str">
        <x:v>2021 GMC Savana 2500 Work Van</x:v>
      </x:c>
      <x:c r="M202" s="253"/>
      <x:c r="N202" s="257"/>
      <x:c r="O202" s="49" t="str">
        <x:v>Price not exposed</x:v>
      </x:c>
      <x:c r="P202" s="49" t="str">
        <x:v>VEH-A54D5C146C80</x:v>
      </x:c>
      <x:c r="Q202" s="49" t="str">
        <x:v>ARPIA54D5C146C80D</x:v>
      </x:c>
      <x:c r="R202" s="249" t="n">
        <x:v>1</x:v>
      </x:c>
      <x:c r="S202" s="49" t="str">
        <x:v>Sanitized public reference data</x:v>
      </x:c>
    </x:row>
    <x:row r="203" ht="20" customHeight="1">
      <x:c r="A203" s="49" t="str">
        <x:v>GSA003-20260802-0202</x:v>
      </x:c>
      <x:c r="B203" s="49" t="str">
        <x:v>GSA-003</x:v>
      </x:c>
      <x:c r="C203" s="49" t="str">
        <x:v>Granite Used Auto Center of Merrimack</x:v>
      </x:c>
      <x:c r="D203" s="245" t="n">
        <x:v>46236</x:v>
      </x:c>
      <x:c r="E203" s="49" t="str">
        <x:v>GSA003-20260802-001</x:v>
      </x:c>
      <x:c r="F203" s="49" t="str">
        <x:v>sanitized_public_inventory_reference</x:v>
      </x:c>
      <x:c r="G203" s="49" t="str">
        <x:v>Used</x:v>
      </x:c>
      <x:c r="H203" s="249" t="n">
        <x:v>2023</x:v>
      </x:c>
      <x:c r="I203" s="49" t="str">
        <x:v>Volkswagen</x:v>
      </x:c>
      <x:c r="J203" s="49" t="str">
        <x:v>Atlas</x:v>
      </x:c>
      <x:c r="K203" s="49" t="str">
        <x:v>3.6L V6 SE w/Technology</x:v>
      </x:c>
      <x:c r="L203" s="49" t="str">
        <x:v>2023 Volkswagen Atlas 3.6L V6 SE w/Technology</x:v>
      </x:c>
      <x:c r="M203" s="253" t="n">
        <x:v>44204</x:v>
      </x:c>
      <x:c r="N203" s="257" t="n">
        <x:v>27695</x:v>
      </x:c>
      <x:c r="O203" s="49" t="str">
        <x:v>Listed</x:v>
      </x:c>
      <x:c r="P203" s="49" t="str">
        <x:v>VEH-7EBA06BF4D6C</x:v>
      </x:c>
      <x:c r="Q203" s="49" t="str">
        <x:v>ARPI7EBA06BF4D6C4</x:v>
      </x:c>
      <x:c r="R203" s="249" t="n">
        <x:v>1</x:v>
      </x:c>
      <x:c r="S203" s="49" t="str">
        <x:v>Sanitized public reference data</x:v>
      </x:c>
    </x:row>
    <x:row r="204" ht="20" customHeight="1">
      <x:c r="A204" s="49" t="str">
        <x:v>GSA003-20260802-0203</x:v>
      </x:c>
      <x:c r="B204" s="49" t="str">
        <x:v>GSA-003</x:v>
      </x:c>
      <x:c r="C204" s="49" t="str">
        <x:v>Granite Used Auto Center of Merrimack</x:v>
      </x:c>
      <x:c r="D204" s="245" t="n">
        <x:v>46236</x:v>
      </x:c>
      <x:c r="E204" s="49" t="str">
        <x:v>GSA003-20260802-001</x:v>
      </x:c>
      <x:c r="F204" s="49" t="str">
        <x:v>sanitized_public_inventory_reference</x:v>
      </x:c>
      <x:c r="G204" s="49" t="str">
        <x:v>Used</x:v>
      </x:c>
      <x:c r="H204" s="249" t="n">
        <x:v>2025</x:v>
      </x:c>
      <x:c r="I204" s="49" t="str">
        <x:v>Mazda</x:v>
      </x:c>
      <x:c r="J204" s="49" t="str">
        <x:v>CX-50</x:v>
      </x:c>
      <x:c r="K204" s="49" t="str">
        <x:v>2.5 S Premium Package</x:v>
      </x:c>
      <x:c r="L204" s="49" t="str">
        <x:v>2025 Mazda CX-50 2.5 S Premium Package</x:v>
      </x:c>
      <x:c r="M204" s="253"/>
      <x:c r="N204" s="257"/>
      <x:c r="O204" s="49" t="str">
        <x:v>Price not exposed</x:v>
      </x:c>
      <x:c r="P204" s="49" t="str">
        <x:v>VEH-F4291CABDE82</x:v>
      </x:c>
      <x:c r="Q204" s="49" t="str">
        <x:v>ARPIF4291CABDE82C</x:v>
      </x:c>
      <x:c r="R204" s="249" t="n">
        <x:v>1</x:v>
      </x:c>
      <x:c r="S204" s="49" t="str">
        <x:v>Sanitized public reference data</x:v>
      </x:c>
    </x:row>
    <x:row r="205" ht="20" customHeight="1">
      <x:c r="A205" s="49" t="str">
        <x:v>GSA003-20260802-0204</x:v>
      </x:c>
      <x:c r="B205" s="49" t="str">
        <x:v>GSA-003</x:v>
      </x:c>
      <x:c r="C205" s="49" t="str">
        <x:v>Granite Used Auto Center of Merrimack</x:v>
      </x:c>
      <x:c r="D205" s="245" t="n">
        <x:v>46236</x:v>
      </x:c>
      <x:c r="E205" s="49" t="str">
        <x:v>GSA003-20260802-001</x:v>
      </x:c>
      <x:c r="F205" s="49" t="str">
        <x:v>sanitized_public_inventory_reference</x:v>
      </x:c>
      <x:c r="G205" s="49" t="str">
        <x:v>Used</x:v>
      </x:c>
      <x:c r="H205" s="249" t="n">
        <x:v>2024</x:v>
      </x:c>
      <x:c r="I205" s="49" t="str">
        <x:v>Chevrolet</x:v>
      </x:c>
      <x:c r="J205" s="49" t="str">
        <x:v>Silverado 2500HD</x:v>
      </x:c>
      <x:c r="K205" s="49" t="str">
        <x:v>Custom</x:v>
      </x:c>
      <x:c r="L205" s="49" t="str">
        <x:v>2024 Chevrolet Silverado 2500HD Custom</x:v>
      </x:c>
      <x:c r="M205" s="253"/>
      <x:c r="N205" s="257"/>
      <x:c r="O205" s="49" t="str">
        <x:v>Price not exposed</x:v>
      </x:c>
      <x:c r="P205" s="49" t="str">
        <x:v>VEH-792B1C0938DF</x:v>
      </x:c>
      <x:c r="Q205" s="49" t="str">
        <x:v>ARPI792B1C0938DFD</x:v>
      </x:c>
      <x:c r="R205" s="249" t="n">
        <x:v>1</x:v>
      </x:c>
      <x:c r="S205" s="49" t="str">
        <x:v>Sanitized public reference data</x:v>
      </x:c>
    </x:row>
    <x:row r="206" ht="20" customHeight="1">
      <x:c r="A206" s="49" t="str">
        <x:v>GSA003-20260802-0205</x:v>
      </x:c>
      <x:c r="B206" s="49" t="str">
        <x:v>GSA-003</x:v>
      </x:c>
      <x:c r="C206" s="49" t="str">
        <x:v>Granite Used Auto Center of Merrimack</x:v>
      </x:c>
      <x:c r="D206" s="245" t="n">
        <x:v>46236</x:v>
      </x:c>
      <x:c r="E206" s="49" t="str">
        <x:v>GSA003-20260802-001</x:v>
      </x:c>
      <x:c r="F206" s="49" t="str">
        <x:v>sanitized_public_inventory_reference</x:v>
      </x:c>
      <x:c r="G206" s="49" t="str">
        <x:v>Used</x:v>
      </x:c>
      <x:c r="H206" s="249" t="n">
        <x:v>2016</x:v>
      </x:c>
      <x:c r="I206" s="49" t="str">
        <x:v>Chevrolet</x:v>
      </x:c>
      <x:c r="J206" s="49" t="str">
        <x:v>Silverado 2500HD</x:v>
      </x:c>
      <x:c r="K206" s="49" t="str">
        <x:v>LTZ</x:v>
      </x:c>
      <x:c r="L206" s="49" t="str">
        <x:v>2016 Chevrolet Silverado 2500HD LTZ</x:v>
      </x:c>
      <x:c r="M206" s="253"/>
      <x:c r="N206" s="257"/>
      <x:c r="O206" s="49" t="str">
        <x:v>Price not exposed</x:v>
      </x:c>
      <x:c r="P206" s="49" t="str">
        <x:v>VEH-916F4A86E524</x:v>
      </x:c>
      <x:c r="Q206" s="49" t="str">
        <x:v>ARPI916F4A86E5249</x:v>
      </x:c>
      <x:c r="R206" s="249" t="n">
        <x:v>1</x:v>
      </x:c>
      <x:c r="S206" s="49" t="str">
        <x:v>Sanitized public reference data</x:v>
      </x:c>
    </x:row>
    <x:row r="207" ht="20" customHeight="1">
      <x:c r="A207" s="49" t="str">
        <x:v>GSA003-20260802-0206</x:v>
      </x:c>
      <x:c r="B207" s="49" t="str">
        <x:v>GSA-003</x:v>
      </x:c>
      <x:c r="C207" s="49" t="str">
        <x:v>Granite Used Auto Center of Merrimack</x:v>
      </x:c>
      <x:c r="D207" s="245" t="n">
        <x:v>46236</x:v>
      </x:c>
      <x:c r="E207" s="49" t="str">
        <x:v>GSA003-20260802-001</x:v>
      </x:c>
      <x:c r="F207" s="49" t="str">
        <x:v>sanitized_public_inventory_reference</x:v>
      </x:c>
      <x:c r="G207" s="49" t="str">
        <x:v>Used</x:v>
      </x:c>
      <x:c r="H207" s="249" t="n">
        <x:v>2018</x:v>
      </x:c>
      <x:c r="I207" s="49" t="str">
        <x:v>Chevrolet</x:v>
      </x:c>
      <x:c r="J207" s="49" t="str">
        <x:v>Silverado 2500HD</x:v>
      </x:c>
      <x:c r="K207" s="49" t="str">
        <x:v>LT</x:v>
      </x:c>
      <x:c r="L207" s="49" t="str">
        <x:v>2018 Chevrolet Silverado 2500HD LT</x:v>
      </x:c>
      <x:c r="M207" s="253"/>
      <x:c r="N207" s="257"/>
      <x:c r="O207" s="49" t="str">
        <x:v>Price not exposed</x:v>
      </x:c>
      <x:c r="P207" s="49" t="str">
        <x:v>VEH-AC0DCF016398</x:v>
      </x:c>
      <x:c r="Q207" s="49" t="str">
        <x:v>ARPIAC0DCF0163986</x:v>
      </x:c>
      <x:c r="R207" s="249" t="n">
        <x:v>1</x:v>
      </x:c>
      <x:c r="S207" s="49" t="str">
        <x:v>Sanitized public reference data</x:v>
      </x:c>
    </x:row>
    <x:row r="208" ht="20" customHeight="1">
      <x:c r="A208" s="49" t="str">
        <x:v>GSA003-20260802-0207</x:v>
      </x:c>
      <x:c r="B208" s="49" t="str">
        <x:v>GSA-003</x:v>
      </x:c>
      <x:c r="C208" s="49" t="str">
        <x:v>Granite Used Auto Center of Merrimack</x:v>
      </x:c>
      <x:c r="D208" s="245" t="n">
        <x:v>46236</x:v>
      </x:c>
      <x:c r="E208" s="49" t="str">
        <x:v>GSA003-20260802-001</x:v>
      </x:c>
      <x:c r="F208" s="49" t="str">
        <x:v>sanitized_public_inventory_reference</x:v>
      </x:c>
      <x:c r="G208" s="49" t="str">
        <x:v>Used</x:v>
      </x:c>
      <x:c r="H208" s="249" t="n">
        <x:v>2024</x:v>
      </x:c>
      <x:c r="I208" s="49" t="str">
        <x:v>Toyota</x:v>
      </x:c>
      <x:c r="J208" s="49" t="str">
        <x:v>Prius Prime</x:v>
      </x:c>
      <x:c r="K208" s="49" t="str">
        <x:v>XSE Premium</x:v>
      </x:c>
      <x:c r="L208" s="49" t="str">
        <x:v>2024 Toyota Prius Prime XSE Premium</x:v>
      </x:c>
      <x:c r="M208" s="253"/>
      <x:c r="N208" s="257"/>
      <x:c r="O208" s="49" t="str">
        <x:v>Price not exposed</x:v>
      </x:c>
      <x:c r="P208" s="49" t="str">
        <x:v>VEH-E7BAD8C187EB</x:v>
      </x:c>
      <x:c r="Q208" s="49" t="str">
        <x:v>ARPIE7BAD8C187EB2</x:v>
      </x:c>
      <x:c r="R208" s="249" t="n">
        <x:v>1</x:v>
      </x:c>
      <x:c r="S208" s="49" t="str">
        <x:v>Sanitized public reference data</x:v>
      </x:c>
    </x:row>
    <x:row r="209" ht="20" customHeight="1">
      <x:c r="A209" s="49" t="str">
        <x:v>GSA003-20260802-0208</x:v>
      </x:c>
      <x:c r="B209" s="49" t="str">
        <x:v>GSA-003</x:v>
      </x:c>
      <x:c r="C209" s="49" t="str">
        <x:v>Granite Used Auto Center of Merrimack</x:v>
      </x:c>
      <x:c r="D209" s="245" t="n">
        <x:v>46236</x:v>
      </x:c>
      <x:c r="E209" s="49" t="str">
        <x:v>GSA003-20260802-001</x:v>
      </x:c>
      <x:c r="F209" s="49" t="str">
        <x:v>sanitized_public_inventory_reference</x:v>
      </x:c>
      <x:c r="G209" s="49" t="str">
        <x:v>Used</x:v>
      </x:c>
      <x:c r="H209" s="249" t="n">
        <x:v>2022</x:v>
      </x:c>
      <x:c r="I209" s="49" t="str">
        <x:v>Chevrolet</x:v>
      </x:c>
      <x:c r="J209" s="49" t="str">
        <x:v>Tahoe</x:v>
      </x:c>
      <x:c r="K209" s="49" t="str">
        <x:v>LT</x:v>
      </x:c>
      <x:c r="L209" s="49" t="str">
        <x:v>2022 Chevrolet Tahoe LT</x:v>
      </x:c>
      <x:c r="M209" s="253" t="n">
        <x:v>102454</x:v>
      </x:c>
      <x:c r="N209" s="257" t="n">
        <x:v>35495</x:v>
      </x:c>
      <x:c r="O209" s="49" t="str">
        <x:v>Listed</x:v>
      </x:c>
      <x:c r="P209" s="49" t="str">
        <x:v>VEH-1B63F9BD4C17</x:v>
      </x:c>
      <x:c r="Q209" s="49" t="str">
        <x:v>ARPI1B63F9BD4C176</x:v>
      </x:c>
      <x:c r="R209" s="249" t="n">
        <x:v>1</x:v>
      </x:c>
      <x:c r="S209" s="49" t="str">
        <x:v>Sanitized public reference data</x:v>
      </x:c>
    </x:row>
    <x:row r="210" ht="20" customHeight="1">
      <x:c r="A210" s="49" t="str">
        <x:v>GSA003-20260802-0209</x:v>
      </x:c>
      <x:c r="B210" s="49" t="str">
        <x:v>GSA-003</x:v>
      </x:c>
      <x:c r="C210" s="49" t="str">
        <x:v>Granite Used Auto Center of Merrimack</x:v>
      </x:c>
      <x:c r="D210" s="245" t="n">
        <x:v>46236</x:v>
      </x:c>
      <x:c r="E210" s="49" t="str">
        <x:v>GSA003-20260802-001</x:v>
      </x:c>
      <x:c r="F210" s="49" t="str">
        <x:v>sanitized_public_inventory_reference</x:v>
      </x:c>
      <x:c r="G210" s="49" t="str">
        <x:v>Used</x:v>
      </x:c>
      <x:c r="H210" s="249" t="n">
        <x:v>2016</x:v>
      </x:c>
      <x:c r="I210" s="49" t="str">
        <x:v>Hyundai</x:v>
      </x:c>
      <x:c r="J210" s="49" t="str">
        <x:v>Veloster</x:v>
      </x:c>
      <x:c r="K210" s="49" t="str">
        <x:v>Turbo</x:v>
      </x:c>
      <x:c r="L210" s="49" t="str">
        <x:v>2016 Hyundai Veloster Turbo</x:v>
      </x:c>
      <x:c r="M210" s="253"/>
      <x:c r="N210" s="257"/>
      <x:c r="O210" s="49" t="str">
        <x:v>Price not exposed</x:v>
      </x:c>
      <x:c r="P210" s="49" t="str">
        <x:v>VEH-2258023BB6F7</x:v>
      </x:c>
      <x:c r="Q210" s="49" t="str">
        <x:v>ARPI2258023BB6F79</x:v>
      </x:c>
      <x:c r="R210" s="249" t="n">
        <x:v>1</x:v>
      </x:c>
      <x:c r="S210" s="49" t="str">
        <x:v>Sanitized public reference data</x:v>
      </x:c>
    </x:row>
    <x:row r="211" ht="20" customHeight="1">
      <x:c r="A211" s="49" t="str">
        <x:v>GSA003-20260802-0210</x:v>
      </x:c>
      <x:c r="B211" s="49" t="str">
        <x:v>GSA-003</x:v>
      </x:c>
      <x:c r="C211" s="49" t="str">
        <x:v>Granite Used Auto Center of Merrimack</x:v>
      </x:c>
      <x:c r="D211" s="245" t="n">
        <x:v>46236</x:v>
      </x:c>
      <x:c r="E211" s="49" t="str">
        <x:v>GSA003-20260802-001</x:v>
      </x:c>
      <x:c r="F211" s="49" t="str">
        <x:v>sanitized_public_inventory_reference</x:v>
      </x:c>
      <x:c r="G211" s="49" t="str">
        <x:v>Used</x:v>
      </x:c>
      <x:c r="H211" s="249" t="n">
        <x:v>2020</x:v>
      </x:c>
      <x:c r="I211" s="49" t="str">
        <x:v>Chevrolet</x:v>
      </x:c>
      <x:c r="J211" s="49" t="str">
        <x:v>Silverado 2500HD</x:v>
      </x:c>
      <x:c r="K211" s="49" t="str">
        <x:v>LT</x:v>
      </x:c>
      <x:c r="L211" s="49" t="str">
        <x:v>2020 Chevrolet Silverado 2500HD LT</x:v>
      </x:c>
      <x:c r="M211" s="253"/>
      <x:c r="N211" s="257"/>
      <x:c r="O211" s="49" t="str">
        <x:v>Price not exposed</x:v>
      </x:c>
      <x:c r="P211" s="49" t="str">
        <x:v>VEH-F78F330DA3D9</x:v>
      </x:c>
      <x:c r="Q211" s="49" t="str">
        <x:v>ARPIF78F330DA3D91</x:v>
      </x:c>
      <x:c r="R211" s="249" t="n">
        <x:v>1</x:v>
      </x:c>
      <x:c r="S211" s="49" t="str">
        <x:v>Sanitized public reference data</x:v>
      </x:c>
    </x:row>
    <x:row r="212" ht="20" customHeight="1">
      <x:c r="A212" s="49" t="str">
        <x:v>GSA003-20260802-0211</x:v>
      </x:c>
      <x:c r="B212" s="49" t="str">
        <x:v>GSA-003</x:v>
      </x:c>
      <x:c r="C212" s="49" t="str">
        <x:v>Granite Used Auto Center of Merrimack</x:v>
      </x:c>
      <x:c r="D212" s="245" t="n">
        <x:v>46236</x:v>
      </x:c>
      <x:c r="E212" s="49" t="str">
        <x:v>GSA003-20260802-001</x:v>
      </x:c>
      <x:c r="F212" s="49" t="str">
        <x:v>sanitized_public_inventory_reference</x:v>
      </x:c>
      <x:c r="G212" s="49" t="str">
        <x:v>Used</x:v>
      </x:c>
      <x:c r="H212" s="249" t="n">
        <x:v>2020</x:v>
      </x:c>
      <x:c r="I212" s="49" t="str">
        <x:v>Kia</x:v>
      </x:c>
      <x:c r="J212" s="49" t="str">
        <x:v>Sorento</x:v>
      </x:c>
      <x:c r="K212" s="49" t="str">
        <x:v>EX</x:v>
      </x:c>
      <x:c r="L212" s="49" t="str">
        <x:v>2020 Kia Sorento EX</x:v>
      </x:c>
      <x:c r="M212" s="253"/>
      <x:c r="N212" s="257"/>
      <x:c r="O212" s="49" t="str">
        <x:v>Price not exposed</x:v>
      </x:c>
      <x:c r="P212" s="49" t="str">
        <x:v>VEH-33C89A897493</x:v>
      </x:c>
      <x:c r="Q212" s="49" t="str">
        <x:v>ARPI33C89A8974938</x:v>
      </x:c>
      <x:c r="R212" s="249" t="n">
        <x:v>1</x:v>
      </x:c>
      <x:c r="S212" s="49" t="str">
        <x:v>Sanitized public reference data</x:v>
      </x:c>
    </x:row>
    <x:row r="213" ht="20" customHeight="1">
      <x:c r="A213" s="49" t="str">
        <x:v>GSA003-20260802-0212</x:v>
      </x:c>
      <x:c r="B213" s="49" t="str">
        <x:v>GSA-003</x:v>
      </x:c>
      <x:c r="C213" s="49" t="str">
        <x:v>Granite Used Auto Center of Merrimack</x:v>
      </x:c>
      <x:c r="D213" s="245" t="n">
        <x:v>46236</x:v>
      </x:c>
      <x:c r="E213" s="49" t="str">
        <x:v>GSA003-20260802-001</x:v>
      </x:c>
      <x:c r="F213" s="49" t="str">
        <x:v>sanitized_public_inventory_reference</x:v>
      </x:c>
      <x:c r="G213" s="49" t="str">
        <x:v>Used</x:v>
      </x:c>
      <x:c r="H213" s="249" t="n">
        <x:v>2024</x:v>
      </x:c>
      <x:c r="I213" s="49" t="str">
        <x:v>Genesis</x:v>
      </x:c>
      <x:c r="J213" s="49" t="str">
        <x:v>GV80</x:v>
      </x:c>
      <x:c r="K213" s="49" t="str">
        <x:v>2.5T</x:v>
      </x:c>
      <x:c r="L213" s="49" t="str">
        <x:v>2024 Genesis GV80 2.5T</x:v>
      </x:c>
      <x:c r="M213" s="253" t="n">
        <x:v>45387</x:v>
      </x:c>
      <x:c r="N213" s="257" t="n">
        <x:v>35395</x:v>
      </x:c>
      <x:c r="O213" s="49" t="str">
        <x:v>Listed</x:v>
      </x:c>
      <x:c r="P213" s="49" t="str">
        <x:v>VEH-5812ACB043AD</x:v>
      </x:c>
      <x:c r="Q213" s="49" t="str">
        <x:v>ARPI5812ACB043AD4</x:v>
      </x:c>
      <x:c r="R213" s="249" t="n">
        <x:v>1</x:v>
      </x:c>
      <x:c r="S213" s="49" t="str">
        <x:v>Sanitized public reference data</x:v>
      </x:c>
    </x:row>
    <x:row r="214" ht="20" customHeight="1">
      <x:c r="A214" s="49" t="str">
        <x:v>GSA003-20260802-0213</x:v>
      </x:c>
      <x:c r="B214" s="49" t="str">
        <x:v>GSA-003</x:v>
      </x:c>
      <x:c r="C214" s="49" t="str">
        <x:v>Granite Used Auto Center of Merrimack</x:v>
      </x:c>
      <x:c r="D214" s="245" t="n">
        <x:v>46236</x:v>
      </x:c>
      <x:c r="E214" s="49" t="str">
        <x:v>GSA003-20260802-001</x:v>
      </x:c>
      <x:c r="F214" s="49" t="str">
        <x:v>sanitized_public_inventory_reference</x:v>
      </x:c>
      <x:c r="G214" s="49" t="str">
        <x:v>Used</x:v>
      </x:c>
      <x:c r="H214" s="249" t="n">
        <x:v>2023</x:v>
      </x:c>
      <x:c r="I214" s="49" t="str">
        <x:v>BMW</x:v>
      </x:c>
      <x:c r="J214" s="49" t="str">
        <x:v>X5</x:v>
      </x:c>
      <x:c r="K214" s="49" t="str">
        <x:v>xDrive40i</x:v>
      </x:c>
      <x:c r="L214" s="49" t="str">
        <x:v>2023 BMW X5 xDrive40i</x:v>
      </x:c>
      <x:c r="M214" s="253"/>
      <x:c r="N214" s="257"/>
      <x:c r="O214" s="49" t="str">
        <x:v>Price not exposed</x:v>
      </x:c>
      <x:c r="P214" s="49" t="str">
        <x:v>VEH-8F7A36EB1151</x:v>
      </x:c>
      <x:c r="Q214" s="49" t="str">
        <x:v>ARPI8F7A36EB11515</x:v>
      </x:c>
      <x:c r="R214" s="249" t="n">
        <x:v>1</x:v>
      </x:c>
      <x:c r="S214" s="49" t="str">
        <x:v>Sanitized public reference data</x:v>
      </x:c>
    </x:row>
    <x:row r="215" ht="20" customHeight="1">
      <x:c r="A215" s="49" t="str">
        <x:v>GSA003-20260802-0214</x:v>
      </x:c>
      <x:c r="B215" s="49" t="str">
        <x:v>GSA-003</x:v>
      </x:c>
      <x:c r="C215" s="49" t="str">
        <x:v>Granite Used Auto Center of Merrimack</x:v>
      </x:c>
      <x:c r="D215" s="245" t="n">
        <x:v>46236</x:v>
      </x:c>
      <x:c r="E215" s="49" t="str">
        <x:v>GSA003-20260802-001</x:v>
      </x:c>
      <x:c r="F215" s="49" t="str">
        <x:v>sanitized_public_inventory_reference</x:v>
      </x:c>
      <x:c r="G215" s="49" t="str">
        <x:v>Used</x:v>
      </x:c>
      <x:c r="H215" s="249" t="n">
        <x:v>2011</x:v>
      </x:c>
      <x:c r="I215" s="49" t="str">
        <x:v>Volkswagen</x:v>
      </x:c>
      <x:c r="J215" s="49" t="str">
        <x:v>Tiguan</x:v>
      </x:c>
      <x:c r="K215" s="49" t="str">
        <x:v>S</x:v>
      </x:c>
      <x:c r="L215" s="49" t="str">
        <x:v>2011 Volkswagen Tiguan S</x:v>
      </x:c>
      <x:c r="M215" s="253"/>
      <x:c r="N215" s="257"/>
      <x:c r="O215" s="49" t="str">
        <x:v>Price not exposed</x:v>
      </x:c>
      <x:c r="P215" s="49" t="str">
        <x:v>VEH-A23218397F73</x:v>
      </x:c>
      <x:c r="Q215" s="49" t="str">
        <x:v>ARPIA23218397F733</x:v>
      </x:c>
      <x:c r="R215" s="249" t="n">
        <x:v>1</x:v>
      </x:c>
      <x:c r="S215" s="49" t="str">
        <x:v>Sanitized public reference data</x:v>
      </x:c>
    </x:row>
    <x:row r="216" ht="20" customHeight="1">
      <x:c r="A216" s="49" t="str">
        <x:v>GSA003-20260802-0215</x:v>
      </x:c>
      <x:c r="B216" s="49" t="str">
        <x:v>GSA-003</x:v>
      </x:c>
      <x:c r="C216" s="49" t="str">
        <x:v>Granite Used Auto Center of Merrimack</x:v>
      </x:c>
      <x:c r="D216" s="245" t="n">
        <x:v>46236</x:v>
      </x:c>
      <x:c r="E216" s="49" t="str">
        <x:v>GSA003-20260802-001</x:v>
      </x:c>
      <x:c r="F216" s="49" t="str">
        <x:v>sanitized_public_inventory_reference</x:v>
      </x:c>
      <x:c r="G216" s="49" t="str">
        <x:v>Used</x:v>
      </x:c>
      <x:c r="H216" s="249" t="n">
        <x:v>2020</x:v>
      </x:c>
      <x:c r="I216" s="49" t="str">
        <x:v>Audi</x:v>
      </x:c>
      <x:c r="J216" s="49" t="str">
        <x:v>SQ8</x:v>
      </x:c>
      <x:c r="K216" s="49" t="str">
        <x:v>4.0T Prestige</x:v>
      </x:c>
      <x:c r="L216" s="49" t="str">
        <x:v>2020 Audi SQ8 4.0T Prestige</x:v>
      </x:c>
      <x:c r="M216" s="253"/>
      <x:c r="N216" s="257"/>
      <x:c r="O216" s="49" t="str">
        <x:v>Price not exposed</x:v>
      </x:c>
      <x:c r="P216" s="49" t="str">
        <x:v>VEH-0A0743969AD0</x:v>
      </x:c>
      <x:c r="Q216" s="49" t="str">
        <x:v>ARPI0A0743969AD0C</x:v>
      </x:c>
      <x:c r="R216" s="249" t="n">
        <x:v>1</x:v>
      </x:c>
      <x:c r="S216" s="49" t="str">
        <x:v>Sanitized public reference data</x:v>
      </x:c>
    </x:row>
    <x:row r="217" ht="20" customHeight="1">
      <x:c r="A217" s="49" t="str">
        <x:v>GSA003-20260802-0216</x:v>
      </x:c>
      <x:c r="B217" s="49" t="str">
        <x:v>GSA-003</x:v>
      </x:c>
      <x:c r="C217" s="49" t="str">
        <x:v>Granite Used Auto Center of Merrimack</x:v>
      </x:c>
      <x:c r="D217" s="245" t="n">
        <x:v>46236</x:v>
      </x:c>
      <x:c r="E217" s="49" t="str">
        <x:v>GSA003-20260802-001</x:v>
      </x:c>
      <x:c r="F217" s="49" t="str">
        <x:v>sanitized_public_inventory_reference</x:v>
      </x:c>
      <x:c r="G217" s="49" t="str">
        <x:v>Used</x:v>
      </x:c>
      <x:c r="H217" s="249" t="n">
        <x:v>2023</x:v>
      </x:c>
      <x:c r="I217" s="49" t="str">
        <x:v>Ford</x:v>
      </x:c>
      <x:c r="J217" s="49" t="str">
        <x:v>F-150</x:v>
      </x:c>
      <x:c r="K217" s="49" t="str">
        <x:v>XLT</x:v>
      </x:c>
      <x:c r="L217" s="49" t="str">
        <x:v>2023 Ford F-150 XLT</x:v>
      </x:c>
      <x:c r="M217" s="253"/>
      <x:c r="N217" s="257"/>
      <x:c r="O217" s="49" t="str">
        <x:v>Price not exposed</x:v>
      </x:c>
      <x:c r="P217" s="49" t="str">
        <x:v>VEH-46CDB4FDCB61</x:v>
      </x:c>
      <x:c r="Q217" s="49" t="str">
        <x:v>ARPI46CDB4FDCB614</x:v>
      </x:c>
      <x:c r="R217" s="249" t="n">
        <x:v>1</x:v>
      </x:c>
      <x:c r="S217" s="49" t="str">
        <x:v>Sanitized public reference data</x:v>
      </x:c>
    </x:row>
    <x:row r="218" ht="20" customHeight="1">
      <x:c r="A218" s="49" t="str">
        <x:v>GSA003-20260802-0217</x:v>
      </x:c>
      <x:c r="B218" s="49" t="str">
        <x:v>GSA-003</x:v>
      </x:c>
      <x:c r="C218" s="49" t="str">
        <x:v>Granite Used Auto Center of Merrimack</x:v>
      </x:c>
      <x:c r="D218" s="245" t="n">
        <x:v>46236</x:v>
      </x:c>
      <x:c r="E218" s="49" t="str">
        <x:v>GSA003-20260802-001</x:v>
      </x:c>
      <x:c r="F218" s="49" t="str">
        <x:v>sanitized_public_inventory_reference</x:v>
      </x:c>
      <x:c r="G218" s="49" t="str">
        <x:v>Used</x:v>
      </x:c>
      <x:c r="H218" s="249" t="n">
        <x:v>2023</x:v>
      </x:c>
      <x:c r="I218" s="49" t="str">
        <x:v>Ram</x:v>
      </x:c>
      <x:c r="J218" s="49" t="str">
        <x:v>1500</x:v>
      </x:c>
      <x:c r="K218" s="49" t="str">
        <x:v>Big Horn/Lone Star</x:v>
      </x:c>
      <x:c r="L218" s="49" t="str">
        <x:v>2023 Ram 1500 Big Horn/Lone Star</x:v>
      </x:c>
      <x:c r="M218" s="253"/>
      <x:c r="N218" s="257"/>
      <x:c r="O218" s="49" t="str">
        <x:v>Price not exposed</x:v>
      </x:c>
      <x:c r="P218" s="49" t="str">
        <x:v>VEH-7F53E1D6FC1F</x:v>
      </x:c>
      <x:c r="Q218" s="49" t="str">
        <x:v>ARPI7F53E1D6FC1F7</x:v>
      </x:c>
      <x:c r="R218" s="249" t="n">
        <x:v>1</x:v>
      </x:c>
      <x:c r="S218" s="49" t="str">
        <x:v>Sanitized public reference data</x:v>
      </x:c>
    </x:row>
    <x:row r="219" ht="20" customHeight="1">
      <x:c r="A219" s="49" t="str">
        <x:v>GSA003-20260802-0218</x:v>
      </x:c>
      <x:c r="B219" s="49" t="str">
        <x:v>GSA-003</x:v>
      </x:c>
      <x:c r="C219" s="49" t="str">
        <x:v>Granite Used Auto Center of Merrimack</x:v>
      </x:c>
      <x:c r="D219" s="245" t="n">
        <x:v>46236</x:v>
      </x:c>
      <x:c r="E219" s="49" t="str">
        <x:v>GSA003-20260802-001</x:v>
      </x:c>
      <x:c r="F219" s="49" t="str">
        <x:v>sanitized_public_inventory_reference</x:v>
      </x:c>
      <x:c r="G219" s="49" t="str">
        <x:v>Used</x:v>
      </x:c>
      <x:c r="H219" s="249" t="n">
        <x:v>2017</x:v>
      </x:c>
      <x:c r="I219" s="49" t="str">
        <x:v>Subaru</x:v>
      </x:c>
      <x:c r="J219" s="49" t="str">
        <x:v>Forester</x:v>
      </x:c>
      <x:c r="K219" s="49" t="str">
        <x:v>2.5i</x:v>
      </x:c>
      <x:c r="L219" s="49" t="str">
        <x:v>2017 Subaru Forester 2.5i</x:v>
      </x:c>
      <x:c r="M219" s="253"/>
      <x:c r="N219" s="257"/>
      <x:c r="O219" s="49" t="str">
        <x:v>Price not exposed</x:v>
      </x:c>
      <x:c r="P219" s="49" t="str">
        <x:v>VEH-0A47E5CE6513</x:v>
      </x:c>
      <x:c r="Q219" s="49" t="str">
        <x:v>ARPI0A47E5CE6513F</x:v>
      </x:c>
      <x:c r="R219" s="249" t="n">
        <x:v>1</x:v>
      </x:c>
      <x:c r="S219" s="49" t="str">
        <x:v>Sanitized public reference data</x:v>
      </x:c>
    </x:row>
    <x:row r="220" ht="20" customHeight="1">
      <x:c r="A220" s="49" t="str">
        <x:v>GSA003-20260802-0219</x:v>
      </x:c>
      <x:c r="B220" s="49" t="str">
        <x:v>GSA-003</x:v>
      </x:c>
      <x:c r="C220" s="49" t="str">
        <x:v>Granite Used Auto Center of Merrimack</x:v>
      </x:c>
      <x:c r="D220" s="245" t="n">
        <x:v>46236</x:v>
      </x:c>
      <x:c r="E220" s="49" t="str">
        <x:v>GSA003-20260802-001</x:v>
      </x:c>
      <x:c r="F220" s="49" t="str">
        <x:v>sanitized_public_inventory_reference</x:v>
      </x:c>
      <x:c r="G220" s="49" t="str">
        <x:v>Used</x:v>
      </x:c>
      <x:c r="H220" s="249" t="n">
        <x:v>2015</x:v>
      </x:c>
      <x:c r="I220" s="49" t="str">
        <x:v>Ram</x:v>
      </x:c>
      <x:c r="J220" s="49" t="str">
        <x:v>1500</x:v>
      </x:c>
      <x:c r="K220" s="49" t="str">
        <x:v>Express</x:v>
      </x:c>
      <x:c r="L220" s="49" t="str">
        <x:v>2015 Ram 1500 Express</x:v>
      </x:c>
      <x:c r="M220" s="253"/>
      <x:c r="N220" s="257"/>
      <x:c r="O220" s="49" t="str">
        <x:v>Price not exposed</x:v>
      </x:c>
      <x:c r="P220" s="49" t="str">
        <x:v>VEH-64CBF162579C</x:v>
      </x:c>
      <x:c r="Q220" s="49" t="str">
        <x:v>ARPI64CBF162579CF</x:v>
      </x:c>
      <x:c r="R220" s="249" t="n">
        <x:v>1</x:v>
      </x:c>
      <x:c r="S220" s="49" t="str">
        <x:v>Sanitized public reference data</x:v>
      </x:c>
    </x:row>
    <x:row r="221" ht="20" customHeight="1">
      <x:c r="A221" s="49" t="str">
        <x:v>GSA003-20260802-0220</x:v>
      </x:c>
      <x:c r="B221" s="49" t="str">
        <x:v>GSA-003</x:v>
      </x:c>
      <x:c r="C221" s="49" t="str">
        <x:v>Granite Used Auto Center of Merrimack</x:v>
      </x:c>
      <x:c r="D221" s="245" t="n">
        <x:v>46236</x:v>
      </x:c>
      <x:c r="E221" s="49" t="str">
        <x:v>GSA003-20260802-001</x:v>
      </x:c>
      <x:c r="F221" s="49" t="str">
        <x:v>sanitized_public_inventory_reference</x:v>
      </x:c>
      <x:c r="G221" s="49" t="str">
        <x:v>Used</x:v>
      </x:c>
      <x:c r="H221" s="249" t="n">
        <x:v>2008</x:v>
      </x:c>
      <x:c r="I221" s="49" t="str">
        <x:v>Jeep</x:v>
      </x:c>
      <x:c r="J221" s="49" t="str">
        <x:v>Patriot</x:v>
      </x:c>
      <x:c r="K221" s="49" t="str">
        <x:v>Sport</x:v>
      </x:c>
      <x:c r="L221" s="49" t="str">
        <x:v>2008 Jeep Patriot Sport</x:v>
      </x:c>
      <x:c r="M221" s="253"/>
      <x:c r="N221" s="257"/>
      <x:c r="O221" s="49" t="str">
        <x:v>Price not exposed</x:v>
      </x:c>
      <x:c r="P221" s="49" t="str">
        <x:v>VEH-81935A7272A6</x:v>
      </x:c>
      <x:c r="Q221" s="49" t="str">
        <x:v>ARPI81935A7272A6D</x:v>
      </x:c>
      <x:c r="R221" s="249" t="n">
        <x:v>1</x:v>
      </x:c>
      <x:c r="S221" s="49" t="str">
        <x:v>Sanitized public reference data</x:v>
      </x:c>
    </x:row>
    <x:row r="222" ht="20" customHeight="1">
      <x:c r="A222" s="49" t="str">
        <x:v>GSA003-20260802-0221</x:v>
      </x:c>
      <x:c r="B222" s="49" t="str">
        <x:v>GSA-003</x:v>
      </x:c>
      <x:c r="C222" s="49" t="str">
        <x:v>Granite Used Auto Center of Merrimack</x:v>
      </x:c>
      <x:c r="D222" s="245" t="n">
        <x:v>46236</x:v>
      </x:c>
      <x:c r="E222" s="49" t="str">
        <x:v>GSA003-20260802-001</x:v>
      </x:c>
      <x:c r="F222" s="49" t="str">
        <x:v>sanitized_public_inventory_reference</x:v>
      </x:c>
      <x:c r="G222" s="49" t="str">
        <x:v>Used</x:v>
      </x:c>
      <x:c r="H222" s="249" t="n">
        <x:v>2025</x:v>
      </x:c>
      <x:c r="I222" s="49" t="str">
        <x:v>Nissan</x:v>
      </x:c>
      <x:c r="J222" s="49" t="str">
        <x:v>Pathfinder</x:v>
      </x:c>
      <x:c r="K222" s="49" t="str">
        <x:v>SL</x:v>
      </x:c>
      <x:c r="L222" s="49" t="str">
        <x:v>2025 Nissan Pathfinder SL</x:v>
      </x:c>
      <x:c r="M222" s="253" t="n">
        <x:v>14600</x:v>
      </x:c>
      <x:c r="N222" s="257" t="n">
        <x:v>34395</x:v>
      </x:c>
      <x:c r="O222" s="49" t="str">
        <x:v>Listed</x:v>
      </x:c>
      <x:c r="P222" s="49" t="str">
        <x:v>VEH-3A948DCFCC41</x:v>
      </x:c>
      <x:c r="Q222" s="49" t="str">
        <x:v>ARPI3A948DCFCC412</x:v>
      </x:c>
      <x:c r="R222" s="249" t="n">
        <x:v>1</x:v>
      </x:c>
      <x:c r="S222" s="49" t="str">
        <x:v>Sanitized public reference data</x:v>
      </x:c>
    </x:row>
    <x:row r="223" ht="20" customHeight="1">
      <x:c r="A223" s="49" t="str">
        <x:v>GSA003-20260802-0222</x:v>
      </x:c>
      <x:c r="B223" s="49" t="str">
        <x:v>GSA-003</x:v>
      </x:c>
      <x:c r="C223" s="49" t="str">
        <x:v>Granite Used Auto Center of Merrimack</x:v>
      </x:c>
      <x:c r="D223" s="245" t="n">
        <x:v>46236</x:v>
      </x:c>
      <x:c r="E223" s="49" t="str">
        <x:v>GSA003-20260802-001</x:v>
      </x:c>
      <x:c r="F223" s="49" t="str">
        <x:v>sanitized_public_inventory_reference</x:v>
      </x:c>
      <x:c r="G223" s="49" t="str">
        <x:v>Used</x:v>
      </x:c>
      <x:c r="H223" s="249" t="n">
        <x:v>2023</x:v>
      </x:c>
      <x:c r="I223" s="49" t="str">
        <x:v>Audi</x:v>
      </x:c>
      <x:c r="J223" s="49" t="str">
        <x:v>Q7</x:v>
      </x:c>
      <x:c r="K223" s="49" t="str">
        <x:v>55 Premium Plus</x:v>
      </x:c>
      <x:c r="L223" s="49" t="str">
        <x:v>2023 Audi Q7 55 Premium Plus</x:v>
      </x:c>
      <x:c r="M223" s="253"/>
      <x:c r="N223" s="257"/>
      <x:c r="O223" s="49" t="str">
        <x:v>Price not exposed</x:v>
      </x:c>
      <x:c r="P223" s="49" t="str">
        <x:v>VEH-10EC372CDC83</x:v>
      </x:c>
      <x:c r="Q223" s="49" t="str">
        <x:v>ARPI10EC372CDC83A</x:v>
      </x:c>
      <x:c r="R223" s="249" t="n">
        <x:v>1</x:v>
      </x:c>
      <x:c r="S223" s="49" t="str">
        <x:v>Sanitized public reference data</x:v>
      </x:c>
    </x:row>
    <x:row r="224" ht="20" customHeight="1">
      <x:c r="A224" s="49" t="str">
        <x:v>GSA003-20260802-0223</x:v>
      </x:c>
      <x:c r="B224" s="49" t="str">
        <x:v>GSA-003</x:v>
      </x:c>
      <x:c r="C224" s="49" t="str">
        <x:v>Granite Used Auto Center of Merrimack</x:v>
      </x:c>
      <x:c r="D224" s="245" t="n">
        <x:v>46236</x:v>
      </x:c>
      <x:c r="E224" s="49" t="str">
        <x:v>GSA003-20260802-001</x:v>
      </x:c>
      <x:c r="F224" s="49" t="str">
        <x:v>sanitized_public_inventory_reference</x:v>
      </x:c>
      <x:c r="G224" s="49" t="str">
        <x:v>Used</x:v>
      </x:c>
      <x:c r="H224" s="249" t="n">
        <x:v>2023</x:v>
      </x:c>
      <x:c r="I224" s="49" t="str">
        <x:v>Nissan</x:v>
      </x:c>
      <x:c r="J224" s="49" t="str">
        <x:v>Pathfinder</x:v>
      </x:c>
      <x:c r="K224" s="49" t="str">
        <x:v>Platinum</x:v>
      </x:c>
      <x:c r="L224" s="49" t="str">
        <x:v>2023 Nissan Pathfinder Platinum</x:v>
      </x:c>
      <x:c r="M224" s="253"/>
      <x:c r="N224" s="257"/>
      <x:c r="O224" s="49" t="str">
        <x:v>Price not exposed</x:v>
      </x:c>
      <x:c r="P224" s="49" t="str">
        <x:v>VEH-B8152E11A6B8</x:v>
      </x:c>
      <x:c r="Q224" s="49" t="str">
        <x:v>ARPIB8152E11A6B8F</x:v>
      </x:c>
      <x:c r="R224" s="249" t="n">
        <x:v>1</x:v>
      </x:c>
      <x:c r="S224" s="49" t="str">
        <x:v>Sanitized public reference data</x:v>
      </x:c>
    </x:row>
    <x:row r="225" ht="20" customHeight="1">
      <x:c r="A225" s="49" t="str">
        <x:v>GSA003-20260802-0224</x:v>
      </x:c>
      <x:c r="B225" s="49" t="str">
        <x:v>GSA-003</x:v>
      </x:c>
      <x:c r="C225" s="49" t="str">
        <x:v>Granite Used Auto Center of Merrimack</x:v>
      </x:c>
      <x:c r="D225" s="245" t="n">
        <x:v>46236</x:v>
      </x:c>
      <x:c r="E225" s="49" t="str">
        <x:v>GSA003-20260802-001</x:v>
      </x:c>
      <x:c r="F225" s="49" t="str">
        <x:v>sanitized_public_inventory_reference</x:v>
      </x:c>
      <x:c r="G225" s="49" t="str">
        <x:v>Used</x:v>
      </x:c>
      <x:c r="H225" s="249" t="n">
        <x:v>2019</x:v>
      </x:c>
      <x:c r="I225" s="49" t="str">
        <x:v>Subaru</x:v>
      </x:c>
      <x:c r="J225" s="49" t="str">
        <x:v>Ascent</x:v>
      </x:c>
      <x:c r="K225" s="49" t="str">
        <x:v>Touring</x:v>
      </x:c>
      <x:c r="L225" s="49" t="str">
        <x:v>2019 Subaru Ascent Touring</x:v>
      </x:c>
      <x:c r="M225" s="253" t="n">
        <x:v>78741</x:v>
      </x:c>
      <x:c r="N225" s="257" t="n">
        <x:v>20390</x:v>
      </x:c>
      <x:c r="O225" s="49" t="str">
        <x:v>Listed</x:v>
      </x:c>
      <x:c r="P225" s="49" t="str">
        <x:v>VEH-009FD35979FE</x:v>
      </x:c>
      <x:c r="Q225" s="49" t="str">
        <x:v>ARPI009FD35979FE9</x:v>
      </x:c>
      <x:c r="R225" s="249" t="n">
        <x:v>1</x:v>
      </x:c>
      <x:c r="S225" s="49" t="str">
        <x:v>Sanitized public reference data</x:v>
      </x:c>
    </x:row>
    <x:row r="226" ht="20" customHeight="1">
      <x:c r="A226" s="49" t="str">
        <x:v>GSA003-20260802-0225</x:v>
      </x:c>
      <x:c r="B226" s="49" t="str">
        <x:v>GSA-003</x:v>
      </x:c>
      <x:c r="C226" s="49" t="str">
        <x:v>Granite Used Auto Center of Merrimack</x:v>
      </x:c>
      <x:c r="D226" s="245" t="n">
        <x:v>46236</x:v>
      </x:c>
      <x:c r="E226" s="49" t="str">
        <x:v>GSA003-20260802-001</x:v>
      </x:c>
      <x:c r="F226" s="49" t="str">
        <x:v>sanitized_public_inventory_reference</x:v>
      </x:c>
      <x:c r="G226" s="49" t="str">
        <x:v>Used</x:v>
      </x:c>
      <x:c r="H226" s="249" t="n">
        <x:v>2022</x:v>
      </x:c>
      <x:c r="I226" s="49" t="str">
        <x:v>Jeep</x:v>
      </x:c>
      <x:c r="J226" s="49" t="str">
        <x:v>Grand Wagoneer</x:v>
      </x:c>
      <x:c r="K226" s="49" t="str">
        <x:v>Series III</x:v>
      </x:c>
      <x:c r="L226" s="49" t="str">
        <x:v>2022 Jeep Grand Wagoneer Series III</x:v>
      </x:c>
      <x:c r="M226" s="253" t="n">
        <x:v>79286</x:v>
      </x:c>
      <x:c r="N226" s="257" t="n">
        <x:v>41995</x:v>
      </x:c>
      <x:c r="O226" s="49" t="str">
        <x:v>Listed</x:v>
      </x:c>
      <x:c r="P226" s="49" t="str">
        <x:v>VEH-6315B11B339D</x:v>
      </x:c>
      <x:c r="Q226" s="49" t="str">
        <x:v>ARPI6315B11B339D6</x:v>
      </x:c>
      <x:c r="R226" s="249" t="n">
        <x:v>1</x:v>
      </x:c>
      <x:c r="S226" s="49" t="str">
        <x:v>Sanitized public reference data</x:v>
      </x:c>
    </x:row>
    <x:row r="227" ht="20" customHeight="1">
      <x:c r="A227" s="49" t="str">
        <x:v>GSA003-20260802-0226</x:v>
      </x:c>
      <x:c r="B227" s="49" t="str">
        <x:v>GSA-003</x:v>
      </x:c>
      <x:c r="C227" s="49" t="str">
        <x:v>Granite Used Auto Center of Merrimack</x:v>
      </x:c>
      <x:c r="D227" s="245" t="n">
        <x:v>46236</x:v>
      </x:c>
      <x:c r="E227" s="49" t="str">
        <x:v>GSA003-20260802-001</x:v>
      </x:c>
      <x:c r="F227" s="49" t="str">
        <x:v>sanitized_public_inventory_reference</x:v>
      </x:c>
      <x:c r="G227" s="49" t="str">
        <x:v>Used</x:v>
      </x:c>
      <x:c r="H227" s="249" t="n">
        <x:v>2021</x:v>
      </x:c>
      <x:c r="I227" s="49" t="str">
        <x:v>Buick</x:v>
      </x:c>
      <x:c r="J227" s="49" t="str">
        <x:v>Encore</x:v>
      </x:c>
      <x:c r="K227" s="49" t="str">
        <x:v>Preferred</x:v>
      </x:c>
      <x:c r="L227" s="49" t="str">
        <x:v>2021 Buick Encore Preferred</x:v>
      </x:c>
      <x:c r="M227" s="253"/>
      <x:c r="N227" s="257"/>
      <x:c r="O227" s="49" t="str">
        <x:v>Price not exposed</x:v>
      </x:c>
      <x:c r="P227" s="49" t="str">
        <x:v>VEH-63BDE10B97E8</x:v>
      </x:c>
      <x:c r="Q227" s="49" t="str">
        <x:v>ARPI63BDE10B97E88</x:v>
      </x:c>
      <x:c r="R227" s="249" t="n">
        <x:v>1</x:v>
      </x:c>
      <x:c r="S227" s="49" t="str">
        <x:v>Sanitized public reference data</x:v>
      </x:c>
    </x:row>
    <x:row r="228" ht="20" customHeight="1">
      <x:c r="A228" s="49" t="str">
        <x:v>GSA003-20260802-0227</x:v>
      </x:c>
      <x:c r="B228" s="49" t="str">
        <x:v>GSA-003</x:v>
      </x:c>
      <x:c r="C228" s="49" t="str">
        <x:v>Granite Used Auto Center of Merrimack</x:v>
      </x:c>
      <x:c r="D228" s="245" t="n">
        <x:v>46236</x:v>
      </x:c>
      <x:c r="E228" s="49" t="str">
        <x:v>GSA003-20260802-001</x:v>
      </x:c>
      <x:c r="F228" s="49" t="str">
        <x:v>sanitized_public_inventory_reference</x:v>
      </x:c>
      <x:c r="G228" s="49" t="str">
        <x:v>Used</x:v>
      </x:c>
      <x:c r="H228" s="249" t="n">
        <x:v>2003</x:v>
      </x:c>
      <x:c r="I228" s="49" t="str">
        <x:v>Toyota</x:v>
      </x:c>
      <x:c r="J228" s="49" t="str">
        <x:v>Camry</x:v>
      </x:c>
      <x:c r="K228" s="49" t="str">
        <x:v>LE</x:v>
      </x:c>
      <x:c r="L228" s="49" t="str">
        <x:v>2003 Toyota Camry LE</x:v>
      </x:c>
      <x:c r="M228" s="253"/>
      <x:c r="N228" s="257"/>
      <x:c r="O228" s="49" t="str">
        <x:v>Price not exposed</x:v>
      </x:c>
      <x:c r="P228" s="49" t="str">
        <x:v>VEH-09AAD07171C1</x:v>
      </x:c>
      <x:c r="Q228" s="49" t="str">
        <x:v>ARPI09AAD07171C15</x:v>
      </x:c>
      <x:c r="R228" s="249" t="n">
        <x:v>1</x:v>
      </x:c>
      <x:c r="S228" s="49" t="str">
        <x:v>Sanitized public reference data</x:v>
      </x:c>
    </x:row>
    <x:row r="229" ht="20" customHeight="1">
      <x:c r="A229" s="49" t="str">
        <x:v>GSA003-20260802-0228</x:v>
      </x:c>
      <x:c r="B229" s="49" t="str">
        <x:v>GSA-003</x:v>
      </x:c>
      <x:c r="C229" s="49" t="str">
        <x:v>Granite Used Auto Center of Merrimack</x:v>
      </x:c>
      <x:c r="D229" s="245" t="n">
        <x:v>46236</x:v>
      </x:c>
      <x:c r="E229" s="49" t="str">
        <x:v>GSA003-20260802-001</x:v>
      </x:c>
      <x:c r="F229" s="49" t="str">
        <x:v>sanitized_public_inventory_reference</x:v>
      </x:c>
      <x:c r="G229" s="49" t="str">
        <x:v>Used</x:v>
      </x:c>
      <x:c r="H229" s="249" t="n">
        <x:v>2024</x:v>
      </x:c>
      <x:c r="I229" s="49" t="str">
        <x:v>GMC</x:v>
      </x:c>
      <x:c r="J229" s="49" t="str">
        <x:v>Sierra 2500HD</x:v>
      </x:c>
      <x:c r="K229" s="49" t="str">
        <x:v>Pro</x:v>
      </x:c>
      <x:c r="L229" s="49" t="str">
        <x:v>2024 GMC Sierra 2500HD Pro</x:v>
      </x:c>
      <x:c r="M229" s="253"/>
      <x:c r="N229" s="257"/>
      <x:c r="O229" s="49" t="str">
        <x:v>Price not exposed</x:v>
      </x:c>
      <x:c r="P229" s="49" t="str">
        <x:v>VEH-1DC8CA916FA7</x:v>
      </x:c>
      <x:c r="Q229" s="49" t="str">
        <x:v>ARPI1DC8CA916FA76</x:v>
      </x:c>
      <x:c r="R229" s="249" t="n">
        <x:v>1</x:v>
      </x:c>
      <x:c r="S229" s="49" t="str">
        <x:v>Sanitized public reference data</x:v>
      </x:c>
    </x:row>
    <x:row r="230" ht="20" customHeight="1">
      <x:c r="A230" s="49" t="str">
        <x:v>GSA003-20260802-0229</x:v>
      </x:c>
      <x:c r="B230" s="49" t="str">
        <x:v>GSA-003</x:v>
      </x:c>
      <x:c r="C230" s="49" t="str">
        <x:v>Granite Used Auto Center of Merrimack</x:v>
      </x:c>
      <x:c r="D230" s="245" t="n">
        <x:v>46236</x:v>
      </x:c>
      <x:c r="E230" s="49" t="str">
        <x:v>GSA003-20260802-001</x:v>
      </x:c>
      <x:c r="F230" s="49" t="str">
        <x:v>sanitized_public_inventory_reference</x:v>
      </x:c>
      <x:c r="G230" s="49" t="str">
        <x:v>Used</x:v>
      </x:c>
      <x:c r="H230" s="249" t="n">
        <x:v>2018</x:v>
      </x:c>
      <x:c r="I230" s="49" t="str">
        <x:v>Hyundai</x:v>
      </x:c>
      <x:c r="J230" s="49" t="str">
        <x:v>Tucson</x:v>
      </x:c>
      <x:c r="K230" s="49" t="str">
        <x:v>Value</x:v>
      </x:c>
      <x:c r="L230" s="49" t="str">
        <x:v>2018 Hyundai Tucson Value</x:v>
      </x:c>
      <x:c r="M230" s="253"/>
      <x:c r="N230" s="257"/>
      <x:c r="O230" s="49" t="str">
        <x:v>Price not exposed</x:v>
      </x:c>
      <x:c r="P230" s="49" t="str">
        <x:v>VEH-6C80F2815D37</x:v>
      </x:c>
      <x:c r="Q230" s="49" t="str">
        <x:v>ARPI6C80F2815D37B</x:v>
      </x:c>
      <x:c r="R230" s="249" t="n">
        <x:v>1</x:v>
      </x:c>
      <x:c r="S230" s="49" t="str">
        <x:v>Sanitized public reference data</x:v>
      </x:c>
    </x:row>
    <x:row r="231" ht="20" customHeight="1">
      <x:c r="A231" s="49" t="str">
        <x:v>GSA003-20260802-0230</x:v>
      </x:c>
      <x:c r="B231" s="49" t="str">
        <x:v>GSA-003</x:v>
      </x:c>
      <x:c r="C231" s="49" t="str">
        <x:v>Granite Used Auto Center of Merrimack</x:v>
      </x:c>
      <x:c r="D231" s="245" t="n">
        <x:v>46236</x:v>
      </x:c>
      <x:c r="E231" s="49" t="str">
        <x:v>GSA003-20260802-001</x:v>
      </x:c>
      <x:c r="F231" s="49" t="str">
        <x:v>sanitized_public_inventory_reference</x:v>
      </x:c>
      <x:c r="G231" s="49" t="str">
        <x:v>Used</x:v>
      </x:c>
      <x:c r="H231" s="249" t="n">
        <x:v>2020</x:v>
      </x:c>
      <x:c r="I231" s="49" t="str">
        <x:v>Subaru</x:v>
      </x:c>
      <x:c r="J231" s="49" t="str">
        <x:v>Forester</x:v>
      </x:c>
      <x:c r="K231" s="49" t="str">
        <x:v>Base</x:v>
      </x:c>
      <x:c r="L231" s="49" t="str">
        <x:v>2020 Subaru Forester Base</x:v>
      </x:c>
      <x:c r="M231" s="253" t="n">
        <x:v>117307</x:v>
      </x:c>
      <x:c r="N231" s="257" t="n">
        <x:v>13995</x:v>
      </x:c>
      <x:c r="O231" s="49" t="str">
        <x:v>Listed</x:v>
      </x:c>
      <x:c r="P231" s="49" t="str">
        <x:v>VEH-8CD0D1205A0D</x:v>
      </x:c>
      <x:c r="Q231" s="49" t="str">
        <x:v>ARPI8CD0D1205A0D5</x:v>
      </x:c>
      <x:c r="R231" s="249" t="n">
        <x:v>1</x:v>
      </x:c>
      <x:c r="S231" s="49" t="str">
        <x:v>Sanitized public reference data</x:v>
      </x:c>
    </x:row>
    <x:row r="232" ht="20" customHeight="1">
      <x:c r="A232" s="49" t="str">
        <x:v>GSA003-20260802-0231</x:v>
      </x:c>
      <x:c r="B232" s="49" t="str">
        <x:v>GSA-003</x:v>
      </x:c>
      <x:c r="C232" s="49" t="str">
        <x:v>Granite Used Auto Center of Merrimack</x:v>
      </x:c>
      <x:c r="D232" s="245" t="n">
        <x:v>46236</x:v>
      </x:c>
      <x:c r="E232" s="49" t="str">
        <x:v>GSA003-20260802-001</x:v>
      </x:c>
      <x:c r="F232" s="49" t="str">
        <x:v>sanitized_public_inventory_reference</x:v>
      </x:c>
      <x:c r="G232" s="49" t="str">
        <x:v>Used</x:v>
      </x:c>
      <x:c r="H232" s="249" t="n">
        <x:v>2023</x:v>
      </x:c>
      <x:c r="I232" s="49" t="str">
        <x:v>Mercedes-Benz</x:v>
      </x:c>
      <x:c r="J232" s="49" t="str">
        <x:v>E-Class</x:v>
      </x:c>
      <x:c r="K232" s="49" t="str">
        <x:v>E 350</x:v>
      </x:c>
      <x:c r="L232" s="49" t="str">
        <x:v>2023 Mercedes-Benz E-Class E 350</x:v>
      </x:c>
      <x:c r="M232" s="253"/>
      <x:c r="N232" s="257"/>
      <x:c r="O232" s="49" t="str">
        <x:v>Price not exposed</x:v>
      </x:c>
      <x:c r="P232" s="49" t="str">
        <x:v>VEH-2D05D2FD744A</x:v>
      </x:c>
      <x:c r="Q232" s="49" t="str">
        <x:v>ARPI2D05D2FD744A2</x:v>
      </x:c>
      <x:c r="R232" s="249" t="n">
        <x:v>1</x:v>
      </x:c>
      <x:c r="S232" s="49" t="str">
        <x:v>Sanitized public reference data</x:v>
      </x:c>
    </x:row>
    <x:row r="233" ht="20" customHeight="1">
      <x:c r="A233" s="49" t="str">
        <x:v>GSA003-20260802-0232</x:v>
      </x:c>
      <x:c r="B233" s="49" t="str">
        <x:v>GSA-003</x:v>
      </x:c>
      <x:c r="C233" s="49" t="str">
        <x:v>Granite Used Auto Center of Merrimack</x:v>
      </x:c>
      <x:c r="D233" s="245" t="n">
        <x:v>46236</x:v>
      </x:c>
      <x:c r="E233" s="49" t="str">
        <x:v>GSA003-20260802-001</x:v>
      </x:c>
      <x:c r="F233" s="49" t="str">
        <x:v>sanitized_public_inventory_reference</x:v>
      </x:c>
      <x:c r="G233" s="49" t="str">
        <x:v>Used</x:v>
      </x:c>
      <x:c r="H233" s="249" t="n">
        <x:v>2021</x:v>
      </x:c>
      <x:c r="I233" s="49" t="str">
        <x:v>Jeep</x:v>
      </x:c>
      <x:c r="J233" s="49" t="str">
        <x:v>Cherokee</x:v>
      </x:c>
      <x:c r="K233" s="49" t="str">
        <x:v>Trailhawk</x:v>
      </x:c>
      <x:c r="L233" s="49" t="str">
        <x:v>2021 Jeep Cherokee Trailhawk</x:v>
      </x:c>
      <x:c r="M233" s="253"/>
      <x:c r="N233" s="257"/>
      <x:c r="O233" s="49" t="str">
        <x:v>Price not exposed</x:v>
      </x:c>
      <x:c r="P233" s="49" t="str">
        <x:v>VEH-C1EB1E1F54A6</x:v>
      </x:c>
      <x:c r="Q233" s="49" t="str">
        <x:v>ARPIC1EB1E1F54A67</x:v>
      </x:c>
      <x:c r="R233" s="249" t="n">
        <x:v>1</x:v>
      </x:c>
      <x:c r="S233" s="49" t="str">
        <x:v>Sanitized public reference data</x:v>
      </x:c>
    </x:row>
    <x:row r="234" ht="20" customHeight="1">
      <x:c r="A234" s="49" t="str">
        <x:v>GSA003-20260802-0233</x:v>
      </x:c>
      <x:c r="B234" s="49" t="str">
        <x:v>GSA-003</x:v>
      </x:c>
      <x:c r="C234" s="49" t="str">
        <x:v>Granite Used Auto Center of Merrimack</x:v>
      </x:c>
      <x:c r="D234" s="245" t="n">
        <x:v>46236</x:v>
      </x:c>
      <x:c r="E234" s="49" t="str">
        <x:v>GSA003-20260802-001</x:v>
      </x:c>
      <x:c r="F234" s="49" t="str">
        <x:v>sanitized_public_inventory_reference</x:v>
      </x:c>
      <x:c r="G234" s="49" t="str">
        <x:v>Used</x:v>
      </x:c>
      <x:c r="H234" s="249" t="n">
        <x:v>2018</x:v>
      </x:c>
      <x:c r="I234" s="49" t="str">
        <x:v>Ford</x:v>
      </x:c>
      <x:c r="J234" s="49" t="str">
        <x:v>EcoSport</x:v>
      </x:c>
      <x:c r="K234" s="49" t="str">
        <x:v>SE</x:v>
      </x:c>
      <x:c r="L234" s="49" t="str">
        <x:v>2018 Ford EcoSport SE</x:v>
      </x:c>
      <x:c r="M234" s="253"/>
      <x:c r="N234" s="257"/>
      <x:c r="O234" s="49" t="str">
        <x:v>Price not exposed</x:v>
      </x:c>
      <x:c r="P234" s="49" t="str">
        <x:v>VEH-BCDB86595797</x:v>
      </x:c>
      <x:c r="Q234" s="49" t="str">
        <x:v>ARPIBCDB86595797D</x:v>
      </x:c>
      <x:c r="R234" s="249" t="n">
        <x:v>1</x:v>
      </x:c>
      <x:c r="S234" s="49" t="str">
        <x:v>Sanitized public reference data</x:v>
      </x:c>
    </x:row>
    <x:row r="235" ht="20" customHeight="1">
      <x:c r="A235" s="49" t="str">
        <x:v>GSA003-20260802-0234</x:v>
      </x:c>
      <x:c r="B235" s="49" t="str">
        <x:v>GSA-003</x:v>
      </x:c>
      <x:c r="C235" s="49" t="str">
        <x:v>Granite Used Auto Center of Merrimack</x:v>
      </x:c>
      <x:c r="D235" s="245" t="n">
        <x:v>46236</x:v>
      </x:c>
      <x:c r="E235" s="49" t="str">
        <x:v>GSA003-20260802-001</x:v>
      </x:c>
      <x:c r="F235" s="49" t="str">
        <x:v>sanitized_public_inventory_reference</x:v>
      </x:c>
      <x:c r="G235" s="49" t="str">
        <x:v>Used</x:v>
      </x:c>
      <x:c r="H235" s="249" t="n">
        <x:v>2023</x:v>
      </x:c>
      <x:c r="I235" s="49" t="str">
        <x:v>Ford</x:v>
      </x:c>
      <x:c r="J235" s="49" t="str">
        <x:v>F-150</x:v>
      </x:c>
      <x:c r="K235" s="49" t="str">
        <x:v>XLT</x:v>
      </x:c>
      <x:c r="L235" s="49" t="str">
        <x:v>2023 Ford F-150 XLT</x:v>
      </x:c>
      <x:c r="M235" s="253"/>
      <x:c r="N235" s="257"/>
      <x:c r="O235" s="49" t="str">
        <x:v>Price not exposed</x:v>
      </x:c>
      <x:c r="P235" s="49" t="str">
        <x:v>VEH-06F47A67DF55</x:v>
      </x:c>
      <x:c r="Q235" s="49" t="str">
        <x:v>ARPI06F47A67DF558</x:v>
      </x:c>
      <x:c r="R235" s="249" t="n">
        <x:v>1</x:v>
      </x:c>
      <x:c r="S235" s="49" t="str">
        <x:v>Sanitized public reference data</x:v>
      </x:c>
    </x:row>
    <x:row r="236" ht="20" customHeight="1">
      <x:c r="A236" s="49" t="str">
        <x:v>GSA003-20260802-0235</x:v>
      </x:c>
      <x:c r="B236" s="49" t="str">
        <x:v>GSA-003</x:v>
      </x:c>
      <x:c r="C236" s="49" t="str">
        <x:v>Granite Used Auto Center of Merrimack</x:v>
      </x:c>
      <x:c r="D236" s="245" t="n">
        <x:v>46236</x:v>
      </x:c>
      <x:c r="E236" s="49" t="str">
        <x:v>GSA003-20260802-001</x:v>
      </x:c>
      <x:c r="F236" s="49" t="str">
        <x:v>sanitized_public_inventory_reference</x:v>
      </x:c>
      <x:c r="G236" s="49" t="str">
        <x:v>Used</x:v>
      </x:c>
      <x:c r="H236" s="249" t="n">
        <x:v>2022</x:v>
      </x:c>
      <x:c r="I236" s="49" t="str">
        <x:v>GMC</x:v>
      </x:c>
      <x:c r="J236" s="49" t="str">
        <x:v>Sierra 2500HD</x:v>
      </x:c>
      <x:c r="K236" s="49" t="str">
        <x:v>Denali</x:v>
      </x:c>
      <x:c r="L236" s="49" t="str">
        <x:v>2022 GMC Sierra 2500HD Denali</x:v>
      </x:c>
      <x:c r="M236" s="253"/>
      <x:c r="N236" s="257"/>
      <x:c r="O236" s="49" t="str">
        <x:v>Price not exposed</x:v>
      </x:c>
      <x:c r="P236" s="49" t="str">
        <x:v>VEH-3169E1AD3A6E</x:v>
      </x:c>
      <x:c r="Q236" s="49" t="str">
        <x:v>ARPI3169E1AD3A6EC</x:v>
      </x:c>
      <x:c r="R236" s="249" t="n">
        <x:v>1</x:v>
      </x:c>
      <x:c r="S236" s="49" t="str">
        <x:v>Sanitized public reference data</x:v>
      </x:c>
    </x:row>
    <x:row r="237" ht="20" customHeight="1">
      <x:c r="A237" s="49" t="str">
        <x:v>GSA003-20260802-0236</x:v>
      </x:c>
      <x:c r="B237" s="49" t="str">
        <x:v>GSA-003</x:v>
      </x:c>
      <x:c r="C237" s="49" t="str">
        <x:v>Granite Used Auto Center of Merrimack</x:v>
      </x:c>
      <x:c r="D237" s="245" t="n">
        <x:v>46236</x:v>
      </x:c>
      <x:c r="E237" s="49" t="str">
        <x:v>GSA003-20260802-001</x:v>
      </x:c>
      <x:c r="F237" s="49" t="str">
        <x:v>sanitized_public_inventory_reference</x:v>
      </x:c>
      <x:c r="G237" s="49" t="str">
        <x:v>Used</x:v>
      </x:c>
      <x:c r="H237" s="249" t="n">
        <x:v>2020</x:v>
      </x:c>
      <x:c r="I237" s="49" t="str">
        <x:v>Ford</x:v>
      </x:c>
      <x:c r="J237" s="49" t="str">
        <x:v>Mustang</x:v>
      </x:c>
      <x:c r="K237" s="49" t="str">
        <x:v>GT Premium</x:v>
      </x:c>
      <x:c r="L237" s="49" t="str">
        <x:v>2020 Ford Mustang GT Premium</x:v>
      </x:c>
      <x:c r="M237" s="253"/>
      <x:c r="N237" s="257"/>
      <x:c r="O237" s="49" t="str">
        <x:v>Price not exposed</x:v>
      </x:c>
      <x:c r="P237" s="49" t="str">
        <x:v>VEH-69F24AB5C582</x:v>
      </x:c>
      <x:c r="Q237" s="49" t="str">
        <x:v>ARPI69F24AB5C5821</x:v>
      </x:c>
      <x:c r="R237" s="249" t="n">
        <x:v>1</x:v>
      </x:c>
      <x:c r="S237" s="49" t="str">
        <x:v>Sanitized public reference data</x:v>
      </x:c>
    </x:row>
    <x:row r="238" ht="20" customHeight="1">
      <x:c r="A238" s="49" t="str">
        <x:v>GSA003-20260802-0237</x:v>
      </x:c>
      <x:c r="B238" s="49" t="str">
        <x:v>GSA-003</x:v>
      </x:c>
      <x:c r="C238" s="49" t="str">
        <x:v>Granite Used Auto Center of Merrimack</x:v>
      </x:c>
      <x:c r="D238" s="245" t="n">
        <x:v>46236</x:v>
      </x:c>
      <x:c r="E238" s="49" t="str">
        <x:v>GSA003-20260802-001</x:v>
      </x:c>
      <x:c r="F238" s="49" t="str">
        <x:v>sanitized_public_inventory_reference</x:v>
      </x:c>
      <x:c r="G238" s="49" t="str">
        <x:v>Used</x:v>
      </x:c>
      <x:c r="H238" s="249" t="n">
        <x:v>2012</x:v>
      </x:c>
      <x:c r="I238" s="49" t="str">
        <x:v>Chevrolet</x:v>
      </x:c>
      <x:c r="J238" s="49" t="str">
        <x:v>Silverado 1500</x:v>
      </x:c>
      <x:c r="K238" s="49" t="str">
        <x:v>Work Truck</x:v>
      </x:c>
      <x:c r="L238" s="49" t="str">
        <x:v>2012 Chevrolet Silverado 1500 Work Truck</x:v>
      </x:c>
      <x:c r="M238" s="253"/>
      <x:c r="N238" s="257"/>
      <x:c r="O238" s="49" t="str">
        <x:v>Price not exposed</x:v>
      </x:c>
      <x:c r="P238" s="49" t="str">
        <x:v>VEH-97EFB3EBFD7E</x:v>
      </x:c>
      <x:c r="Q238" s="49" t="str">
        <x:v>ARPI97EFB3EBFD7EB</x:v>
      </x:c>
      <x:c r="R238" s="249" t="n">
        <x:v>1</x:v>
      </x:c>
      <x:c r="S238" s="49" t="str">
        <x:v>Sanitized public reference data</x:v>
      </x:c>
    </x:row>
    <x:row r="239" ht="20" customHeight="1">
      <x:c r="A239" s="49" t="str">
        <x:v>GSA003-20260802-0238</x:v>
      </x:c>
      <x:c r="B239" s="49" t="str">
        <x:v>GSA-003</x:v>
      </x:c>
      <x:c r="C239" s="49" t="str">
        <x:v>Granite Used Auto Center of Merrimack</x:v>
      </x:c>
      <x:c r="D239" s="245" t="n">
        <x:v>46236</x:v>
      </x:c>
      <x:c r="E239" s="49" t="str">
        <x:v>GSA003-20260802-001</x:v>
      </x:c>
      <x:c r="F239" s="49" t="str">
        <x:v>sanitized_public_inventory_reference</x:v>
      </x:c>
      <x:c r="G239" s="49" t="str">
        <x:v>Used</x:v>
      </x:c>
      <x:c r="H239" s="249" t="n">
        <x:v>2014</x:v>
      </x:c>
      <x:c r="I239" s="49" t="str">
        <x:v>Jeep</x:v>
      </x:c>
      <x:c r="J239" s="49" t="str">
        <x:v>Grand Cherokee</x:v>
      </x:c>
      <x:c r="K239" s="49" t="str">
        <x:v>Overland</x:v>
      </x:c>
      <x:c r="L239" s="49" t="str">
        <x:v>2014 Jeep Grand Cherokee Overland</x:v>
      </x:c>
      <x:c r="M239" s="253"/>
      <x:c r="N239" s="257"/>
      <x:c r="O239" s="49" t="str">
        <x:v>Price not exposed</x:v>
      </x:c>
      <x:c r="P239" s="49" t="str">
        <x:v>VEH-DD629CCEAE75</x:v>
      </x:c>
      <x:c r="Q239" s="49" t="str">
        <x:v>ARPIDD629CCEAE757</x:v>
      </x:c>
      <x:c r="R239" s="249" t="n">
        <x:v>1</x:v>
      </x:c>
      <x:c r="S239" s="49" t="str">
        <x:v>Sanitized public reference data</x:v>
      </x:c>
    </x:row>
    <x:row r="240" ht="20" customHeight="1">
      <x:c r="A240" s="49" t="str">
        <x:v>GSA003-20260802-0239</x:v>
      </x:c>
      <x:c r="B240" s="49" t="str">
        <x:v>GSA-003</x:v>
      </x:c>
      <x:c r="C240" s="49" t="str">
        <x:v>Granite Used Auto Center of Merrimack</x:v>
      </x:c>
      <x:c r="D240" s="245" t="n">
        <x:v>46236</x:v>
      </x:c>
      <x:c r="E240" s="49" t="str">
        <x:v>GSA003-20260802-001</x:v>
      </x:c>
      <x:c r="F240" s="49" t="str">
        <x:v>sanitized_public_inventory_reference</x:v>
      </x:c>
      <x:c r="G240" s="49" t="str">
        <x:v>Used</x:v>
      </x:c>
      <x:c r="H240" s="249" t="n">
        <x:v>2019</x:v>
      </x:c>
      <x:c r="I240" s="49" t="str">
        <x:v>INFINITI</x:v>
      </x:c>
      <x:c r="J240" s="49" t="str">
        <x:v>QX80</x:v>
      </x:c>
      <x:c r="K240" s="49" t="str">
        <x:v>LUXE</x:v>
      </x:c>
      <x:c r="L240" s="49" t="str">
        <x:v>2019 INFINITI QX80 LUXE</x:v>
      </x:c>
      <x:c r="M240" s="253"/>
      <x:c r="N240" s="257"/>
      <x:c r="O240" s="49" t="str">
        <x:v>Price not exposed</x:v>
      </x:c>
      <x:c r="P240" s="49" t="str">
        <x:v>VEH-29D239F3DC8E</x:v>
      </x:c>
      <x:c r="Q240" s="49" t="str">
        <x:v>ARPI29D239F3DC8ED</x:v>
      </x:c>
      <x:c r="R240" s="249" t="n">
        <x:v>1</x:v>
      </x:c>
      <x:c r="S240" s="49" t="str">
        <x:v>Sanitized public reference data</x:v>
      </x:c>
    </x:row>
    <x:row r="241" ht="20" customHeight="1">
      <x:c r="A241" s="49" t="str">
        <x:v>GSA003-20260802-0240</x:v>
      </x:c>
      <x:c r="B241" s="49" t="str">
        <x:v>GSA-003</x:v>
      </x:c>
      <x:c r="C241" s="49" t="str">
        <x:v>Granite Used Auto Center of Merrimack</x:v>
      </x:c>
      <x:c r="D241" s="245" t="n">
        <x:v>46236</x:v>
      </x:c>
      <x:c r="E241" s="49" t="str">
        <x:v>GSA003-20260802-001</x:v>
      </x:c>
      <x:c r="F241" s="49" t="str">
        <x:v>sanitized_public_inventory_reference</x:v>
      </x:c>
      <x:c r="G241" s="49" t="str">
        <x:v>Used</x:v>
      </x:c>
      <x:c r="H241" s="249" t="n">
        <x:v>2020</x:v>
      </x:c>
      <x:c r="I241" s="49" t="str">
        <x:v>Kia</x:v>
      </x:c>
      <x:c r="J241" s="49" t="str">
        <x:v>Sportage</x:v>
      </x:c>
      <x:c r="K241" s="49" t="str">
        <x:v>EX</x:v>
      </x:c>
      <x:c r="L241" s="49" t="str">
        <x:v>2020 Kia Sportage EX</x:v>
      </x:c>
      <x:c r="M241" s="253" t="n">
        <x:v>71377</x:v>
      </x:c>
      <x:c r="N241" s="257" t="n">
        <x:v>16995</x:v>
      </x:c>
      <x:c r="O241" s="49" t="str">
        <x:v>Listed</x:v>
      </x:c>
      <x:c r="P241" s="49" t="str">
        <x:v>VEH-564F2C751994</x:v>
      </x:c>
      <x:c r="Q241" s="49" t="str">
        <x:v>ARPI564F2C7519947</x:v>
      </x:c>
      <x:c r="R241" s="249" t="n">
        <x:v>1</x:v>
      </x:c>
      <x:c r="S241" s="49" t="str">
        <x:v>Sanitized public reference data</x:v>
      </x:c>
    </x:row>
    <x:row r="242" ht="20" customHeight="1">
      <x:c r="A242" s="49" t="str">
        <x:v>GSA003-20260802-0241</x:v>
      </x:c>
      <x:c r="B242" s="49" t="str">
        <x:v>GSA-003</x:v>
      </x:c>
      <x:c r="C242" s="49" t="str">
        <x:v>Granite Used Auto Center of Merrimack</x:v>
      </x:c>
      <x:c r="D242" s="245" t="n">
        <x:v>46236</x:v>
      </x:c>
      <x:c r="E242" s="49" t="str">
        <x:v>GSA003-20260802-001</x:v>
      </x:c>
      <x:c r="F242" s="49" t="str">
        <x:v>sanitized_public_inventory_reference</x:v>
      </x:c>
      <x:c r="G242" s="49" t="str">
        <x:v>Used</x:v>
      </x:c>
      <x:c r="H242" s="249" t="n">
        <x:v>2024</x:v>
      </x:c>
      <x:c r="I242" s="49" t="str">
        <x:v>Mercedes-Benz</x:v>
      </x:c>
      <x:c r="J242" s="49" t="str">
        <x:v>GLE</x:v>
      </x:c>
      <x:c r="K242" s="49" t="str">
        <x:v>GLE 350</x:v>
      </x:c>
      <x:c r="L242" s="49" t="str">
        <x:v>2024 Mercedes-Benz GLE GLE 350</x:v>
      </x:c>
      <x:c r="M242" s="253" t="n">
        <x:v>20991</x:v>
      </x:c>
      <x:c r="N242" s="257" t="n">
        <x:v>47995</x:v>
      </x:c>
      <x:c r="O242" s="49" t="str">
        <x:v>Listed</x:v>
      </x:c>
      <x:c r="P242" s="49" t="str">
        <x:v>VEH-B8AD5A1C2F90</x:v>
      </x:c>
      <x:c r="Q242" s="49" t="str">
        <x:v>ARPIB8AD5A1C2F902</x:v>
      </x:c>
      <x:c r="R242" s="249" t="n">
        <x:v>1</x:v>
      </x:c>
      <x:c r="S242" s="49" t="str">
        <x:v>Sanitized public reference data</x:v>
      </x:c>
    </x:row>
    <x:row r="243" ht="20" customHeight="1">
      <x:c r="A243" s="49" t="str">
        <x:v>GSA003-20260802-0242</x:v>
      </x:c>
      <x:c r="B243" s="49" t="str">
        <x:v>GSA-003</x:v>
      </x:c>
      <x:c r="C243" s="49" t="str">
        <x:v>Granite Used Auto Center of Merrimack</x:v>
      </x:c>
      <x:c r="D243" s="245" t="n">
        <x:v>46236</x:v>
      </x:c>
      <x:c r="E243" s="49" t="str">
        <x:v>GSA003-20260802-001</x:v>
      </x:c>
      <x:c r="F243" s="49" t="str">
        <x:v>sanitized_public_inventory_reference</x:v>
      </x:c>
      <x:c r="G243" s="49" t="str">
        <x:v>Used</x:v>
      </x:c>
      <x:c r="H243" s="249" t="n">
        <x:v>2020</x:v>
      </x:c>
      <x:c r="I243" s="49" t="str">
        <x:v>Mazda</x:v>
      </x:c>
      <x:c r="J243" s="49" t="str">
        <x:v>CX-5</x:v>
      </x:c>
      <x:c r="K243" s="49" t="str">
        <x:v>Sport</x:v>
      </x:c>
      <x:c r="L243" s="49" t="str">
        <x:v>2020 Mazda CX-5 Sport</x:v>
      </x:c>
      <x:c r="M243" s="253"/>
      <x:c r="N243" s="257"/>
      <x:c r="O243" s="49" t="str">
        <x:v>Price not exposed</x:v>
      </x:c>
      <x:c r="P243" s="49" t="str">
        <x:v>VEH-DE6DC9232A50</x:v>
      </x:c>
      <x:c r="Q243" s="49" t="str">
        <x:v>ARPIDE6DC9232A50A</x:v>
      </x:c>
      <x:c r="R243" s="249" t="n">
        <x:v>1</x:v>
      </x:c>
      <x:c r="S243" s="49" t="str">
        <x:v>Sanitized public reference data</x:v>
      </x:c>
    </x:row>
    <x:row r="244" ht="20" customHeight="1">
      <x:c r="A244" s="49" t="str">
        <x:v>GSA003-20260802-0243</x:v>
      </x:c>
      <x:c r="B244" s="49" t="str">
        <x:v>GSA-003</x:v>
      </x:c>
      <x:c r="C244" s="49" t="str">
        <x:v>Granite Used Auto Center of Merrimack</x:v>
      </x:c>
      <x:c r="D244" s="245" t="n">
        <x:v>46236</x:v>
      </x:c>
      <x:c r="E244" s="49" t="str">
        <x:v>GSA003-20260802-001</x:v>
      </x:c>
      <x:c r="F244" s="49" t="str">
        <x:v>sanitized_public_inventory_reference</x:v>
      </x:c>
      <x:c r="G244" s="49" t="str">
        <x:v>Used</x:v>
      </x:c>
      <x:c r="H244" s="249" t="n">
        <x:v>2021</x:v>
      </x:c>
      <x:c r="I244" s="49" t="str">
        <x:v>Jeep</x:v>
      </x:c>
      <x:c r="J244" s="49" t="str">
        <x:v>Compass</x:v>
      </x:c>
      <x:c r="K244" s="49" t="str">
        <x:v>Trailhawk</x:v>
      </x:c>
      <x:c r="L244" s="49" t="str">
        <x:v>2021 Jeep Compass Trailhawk</x:v>
      </x:c>
      <x:c r="M244" s="253"/>
      <x:c r="N244" s="257"/>
      <x:c r="O244" s="49" t="str">
        <x:v>Price not exposed</x:v>
      </x:c>
      <x:c r="P244" s="49" t="str">
        <x:v>VEH-2A3D6F3F1965</x:v>
      </x:c>
      <x:c r="Q244" s="49" t="str">
        <x:v>ARPI2A3D6F3F1965D</x:v>
      </x:c>
      <x:c r="R244" s="249" t="n">
        <x:v>1</x:v>
      </x:c>
      <x:c r="S244" s="49" t="str">
        <x:v>Sanitized public reference data</x:v>
      </x:c>
    </x:row>
    <x:row r="245" ht="20" customHeight="1">
      <x:c r="A245" s="49" t="str">
        <x:v>GSA003-20260802-0244</x:v>
      </x:c>
      <x:c r="B245" s="49" t="str">
        <x:v>GSA-003</x:v>
      </x:c>
      <x:c r="C245" s="49" t="str">
        <x:v>Granite Used Auto Center of Merrimack</x:v>
      </x:c>
      <x:c r="D245" s="245" t="n">
        <x:v>46236</x:v>
      </x:c>
      <x:c r="E245" s="49" t="str">
        <x:v>GSA003-20260802-001</x:v>
      </x:c>
      <x:c r="F245" s="49" t="str">
        <x:v>sanitized_public_inventory_reference</x:v>
      </x:c>
      <x:c r="G245" s="49" t="str">
        <x:v>Used</x:v>
      </x:c>
      <x:c r="H245" s="249" t="n">
        <x:v>2022</x:v>
      </x:c>
      <x:c r="I245" s="49" t="str">
        <x:v>GMC</x:v>
      </x:c>
      <x:c r="J245" s="49" t="str">
        <x:v>Yukon</x:v>
      </x:c>
      <x:c r="K245" s="49" t="str">
        <x:v>SLT</x:v>
      </x:c>
      <x:c r="L245" s="49" t="str">
        <x:v>2022 GMC Yukon SLT</x:v>
      </x:c>
      <x:c r="M245" s="253" t="n">
        <x:v>77843</x:v>
      </x:c>
      <x:c r="N245" s="257" t="n">
        <x:v>42395</x:v>
      </x:c>
      <x:c r="O245" s="49" t="str">
        <x:v>Listed</x:v>
      </x:c>
      <x:c r="P245" s="49" t="str">
        <x:v>VEH-9A9115B519B2</x:v>
      </x:c>
      <x:c r="Q245" s="49" t="str">
        <x:v>ARPI9A9115B519B23</x:v>
      </x:c>
      <x:c r="R245" s="249" t="n">
        <x:v>1</x:v>
      </x:c>
      <x:c r="S245" s="49" t="str">
        <x:v>Sanitized public reference data</x:v>
      </x:c>
    </x:row>
    <x:row r="246" ht="20" customHeight="1">
      <x:c r="A246" s="49" t="str">
        <x:v>GSA003-20260802-0245</x:v>
      </x:c>
      <x:c r="B246" s="49" t="str">
        <x:v>GSA-003</x:v>
      </x:c>
      <x:c r="C246" s="49" t="str">
        <x:v>Granite Used Auto Center of Merrimack</x:v>
      </x:c>
      <x:c r="D246" s="245" t="n">
        <x:v>46236</x:v>
      </x:c>
      <x:c r="E246" s="49" t="str">
        <x:v>GSA003-20260802-001</x:v>
      </x:c>
      <x:c r="F246" s="49" t="str">
        <x:v>sanitized_public_inventory_reference</x:v>
      </x:c>
      <x:c r="G246" s="49" t="str">
        <x:v>Used</x:v>
      </x:c>
      <x:c r="H246" s="249" t="n">
        <x:v>2016</x:v>
      </x:c>
      <x:c r="I246" s="49" t="str">
        <x:v>Maserati</x:v>
      </x:c>
      <x:c r="J246" s="49" t="str">
        <x:v>Ghibli</x:v>
      </x:c>
      <x:c r="K246" s="49" t="str">
        <x:v>S Q4</x:v>
      </x:c>
      <x:c r="L246" s="49" t="str">
        <x:v>2016 Maserati Ghibli S Q4</x:v>
      </x:c>
      <x:c r="M246" s="253" t="n">
        <x:v>133939</x:v>
      </x:c>
      <x:c r="N246" s="257" t="n">
        <x:v>12895</x:v>
      </x:c>
      <x:c r="O246" s="49" t="str">
        <x:v>Listed</x:v>
      </x:c>
      <x:c r="P246" s="49" t="str">
        <x:v>VEH-41E80A234E6E</x:v>
      </x:c>
      <x:c r="Q246" s="49" t="str">
        <x:v>ARPI41E80A234E6E6</x:v>
      </x:c>
      <x:c r="R246" s="249" t="n">
        <x:v>1</x:v>
      </x:c>
      <x:c r="S246" s="49" t="str">
        <x:v>Sanitized public reference data</x:v>
      </x:c>
    </x:row>
    <x:row r="247" ht="20" customHeight="1">
      <x:c r="A247" s="49" t="str">
        <x:v>GSA003-20260802-0246</x:v>
      </x:c>
      <x:c r="B247" s="49" t="str">
        <x:v>GSA-003</x:v>
      </x:c>
      <x:c r="C247" s="49" t="str">
        <x:v>Granite Used Auto Center of Merrimack</x:v>
      </x:c>
      <x:c r="D247" s="245" t="n">
        <x:v>46236</x:v>
      </x:c>
      <x:c r="E247" s="49" t="str">
        <x:v>GSA003-20260802-001</x:v>
      </x:c>
      <x:c r="F247" s="49" t="str">
        <x:v>sanitized_public_inventory_reference</x:v>
      </x:c>
      <x:c r="G247" s="49" t="str">
        <x:v>Used</x:v>
      </x:c>
      <x:c r="H247" s="249" t="n">
        <x:v>2013</x:v>
      </x:c>
      <x:c r="I247" s="49" t="str">
        <x:v>GMC</x:v>
      </x:c>
      <x:c r="J247" s="49" t="str">
        <x:v>Yukon</x:v>
      </x:c>
      <x:c r="K247" s="49" t="str">
        <x:v>Denali</x:v>
      </x:c>
      <x:c r="L247" s="49" t="str">
        <x:v>2013 GMC Yukon Denali</x:v>
      </x:c>
      <x:c r="M247" s="253"/>
      <x:c r="N247" s="257"/>
      <x:c r="O247" s="49" t="str">
        <x:v>Price not exposed</x:v>
      </x:c>
      <x:c r="P247" s="49" t="str">
        <x:v>VEH-B4F3E9197C91</x:v>
      </x:c>
      <x:c r="Q247" s="49" t="str">
        <x:v>ARPIB4F3E9197C912</x:v>
      </x:c>
      <x:c r="R247" s="249" t="n">
        <x:v>1</x:v>
      </x:c>
      <x:c r="S247" s="49" t="str">
        <x:v>Sanitized public reference data</x:v>
      </x:c>
    </x:row>
    <x:row r="248" ht="20" customHeight="1">
      <x:c r="A248" s="49" t="str">
        <x:v>GSA003-20260802-0247</x:v>
      </x:c>
      <x:c r="B248" s="49" t="str">
        <x:v>GSA-003</x:v>
      </x:c>
      <x:c r="C248" s="49" t="str">
        <x:v>Granite Used Auto Center of Merrimack</x:v>
      </x:c>
      <x:c r="D248" s="245" t="n">
        <x:v>46236</x:v>
      </x:c>
      <x:c r="E248" s="49" t="str">
        <x:v>GSA003-20260802-001</x:v>
      </x:c>
      <x:c r="F248" s="49" t="str">
        <x:v>sanitized_public_inventory_reference</x:v>
      </x:c>
      <x:c r="G248" s="49" t="str">
        <x:v>Used</x:v>
      </x:c>
      <x:c r="H248" s="249" t="n">
        <x:v>2023</x:v>
      </x:c>
      <x:c r="I248" s="49" t="str">
        <x:v>Mitsubishi</x:v>
      </x:c>
      <x:c r="J248" s="49" t="str">
        <x:v>Mirage G4</x:v>
      </x:c>
      <x:c r="K248" s="49" t="str">
        <x:v>ES</x:v>
      </x:c>
      <x:c r="L248" s="49" t="str">
        <x:v>2023 Mitsubishi Mirage G4 ES</x:v>
      </x:c>
      <x:c r="M248" s="253"/>
      <x:c r="N248" s="257"/>
      <x:c r="O248" s="49" t="str">
        <x:v>Price not exposed</x:v>
      </x:c>
      <x:c r="P248" s="49" t="str">
        <x:v>VEH-A35CC3A31B23</x:v>
      </x:c>
      <x:c r="Q248" s="49" t="str">
        <x:v>ARPIA35CC3A31B231</x:v>
      </x:c>
      <x:c r="R248" s="249" t="n">
        <x:v>1</x:v>
      </x:c>
      <x:c r="S248" s="49" t="str">
        <x:v>Sanitized public reference data</x:v>
      </x:c>
    </x:row>
    <x:row r="249" ht="20" customHeight="1">
      <x:c r="A249" s="49" t="str">
        <x:v>GSA003-20260802-0248</x:v>
      </x:c>
      <x:c r="B249" s="49" t="str">
        <x:v>GSA-003</x:v>
      </x:c>
      <x:c r="C249" s="49" t="str">
        <x:v>Granite Used Auto Center of Merrimack</x:v>
      </x:c>
      <x:c r="D249" s="245" t="n">
        <x:v>46236</x:v>
      </x:c>
      <x:c r="E249" s="49" t="str">
        <x:v>GSA003-20260802-001</x:v>
      </x:c>
      <x:c r="F249" s="49" t="str">
        <x:v>sanitized_public_inventory_reference</x:v>
      </x:c>
      <x:c r="G249" s="49" t="str">
        <x:v>Used</x:v>
      </x:c>
      <x:c r="H249" s="249" t="n">
        <x:v>2021</x:v>
      </x:c>
      <x:c r="I249" s="49" t="str">
        <x:v>Ford</x:v>
      </x:c>
      <x:c r="J249" s="49" t="str">
        <x:v>Bronco Sport</x:v>
      </x:c>
      <x:c r="K249" s="49" t="str">
        <x:v>Big Bend</x:v>
      </x:c>
      <x:c r="L249" s="49" t="str">
        <x:v>2021 Ford Bronco Sport Big Bend</x:v>
      </x:c>
      <x:c r="M249" s="253"/>
      <x:c r="N249" s="257"/>
      <x:c r="O249" s="49" t="str">
        <x:v>Price not exposed</x:v>
      </x:c>
      <x:c r="P249" s="49" t="str">
        <x:v>VEH-2E6CA1BC0FE5</x:v>
      </x:c>
      <x:c r="Q249" s="49" t="str">
        <x:v>ARPI2E6CA1BC0FE5B</x:v>
      </x:c>
      <x:c r="R249" s="249" t="n">
        <x:v>1</x:v>
      </x:c>
      <x:c r="S249" s="49" t="str">
        <x:v>Sanitized public reference data</x:v>
      </x:c>
    </x:row>
    <x:row r="250" ht="20" customHeight="1">
      <x:c r="A250" s="49" t="str">
        <x:v>GSA003-20260802-0249</x:v>
      </x:c>
      <x:c r="B250" s="49" t="str">
        <x:v>GSA-003</x:v>
      </x:c>
      <x:c r="C250" s="49" t="str">
        <x:v>Granite Used Auto Center of Merrimack</x:v>
      </x:c>
      <x:c r="D250" s="245" t="n">
        <x:v>46236</x:v>
      </x:c>
      <x:c r="E250" s="49" t="str">
        <x:v>GSA003-20260802-001</x:v>
      </x:c>
      <x:c r="F250" s="49" t="str">
        <x:v>sanitized_public_inventory_reference</x:v>
      </x:c>
      <x:c r="G250" s="49" t="str">
        <x:v>Used</x:v>
      </x:c>
      <x:c r="H250" s="249" t="n">
        <x:v>2013</x:v>
      </x:c>
      <x:c r="I250" s="49" t="str">
        <x:v>Honda</x:v>
      </x:c>
      <x:c r="J250" s="49" t="str">
        <x:v>CR-V</x:v>
      </x:c>
      <x:c r="K250" s="49" t="str">
        <x:v>EX</x:v>
      </x:c>
      <x:c r="L250" s="49" t="str">
        <x:v>2013 Honda CR-V EX</x:v>
      </x:c>
      <x:c r="M250" s="253"/>
      <x:c r="N250" s="257"/>
      <x:c r="O250" s="49" t="str">
        <x:v>Price not exposed</x:v>
      </x:c>
      <x:c r="P250" s="49" t="str">
        <x:v>VEH-836A0F5629C3</x:v>
      </x:c>
      <x:c r="Q250" s="49" t="str">
        <x:v>ARPI836A0F5629C35</x:v>
      </x:c>
      <x:c r="R250" s="249" t="n">
        <x:v>1</x:v>
      </x:c>
      <x:c r="S250" s="49" t="str">
        <x:v>Sanitized public reference data</x:v>
      </x:c>
    </x:row>
    <x:row r="251" ht="20" customHeight="1">
      <x:c r="A251" s="49" t="str">
        <x:v>GSA003-20260802-0250</x:v>
      </x:c>
      <x:c r="B251" s="49" t="str">
        <x:v>GSA-003</x:v>
      </x:c>
      <x:c r="C251" s="49" t="str">
        <x:v>Granite Used Auto Center of Merrimack</x:v>
      </x:c>
      <x:c r="D251" s="245" t="n">
        <x:v>46236</x:v>
      </x:c>
      <x:c r="E251" s="49" t="str">
        <x:v>GSA003-20260802-001</x:v>
      </x:c>
      <x:c r="F251" s="49" t="str">
        <x:v>sanitized_public_inventory_reference</x:v>
      </x:c>
      <x:c r="G251" s="49" t="str">
        <x:v>Used</x:v>
      </x:c>
      <x:c r="H251" s="249" t="n">
        <x:v>2020</x:v>
      </x:c>
      <x:c r="I251" s="49" t="str">
        <x:v>GMC</x:v>
      </x:c>
      <x:c r="J251" s="49" t="str">
        <x:v>Sierra 3500HD</x:v>
      </x:c>
      <x:c r="K251" s="49" t="str">
        <x:v>Denali</x:v>
      </x:c>
      <x:c r="L251" s="49" t="str">
        <x:v>2020 GMC Sierra 3500HD Denali</x:v>
      </x:c>
      <x:c r="M251" s="253"/>
      <x:c r="N251" s="257"/>
      <x:c r="O251" s="49" t="str">
        <x:v>Price not exposed</x:v>
      </x:c>
      <x:c r="P251" s="49" t="str">
        <x:v>VEH-8D075B4A9F5A</x:v>
      </x:c>
      <x:c r="Q251" s="49" t="str">
        <x:v>ARPI8D075B4A9F5A0</x:v>
      </x:c>
      <x:c r="R251" s="249" t="n">
        <x:v>1</x:v>
      </x:c>
      <x:c r="S251" s="49" t="str">
        <x:v>Sanitized public reference data</x:v>
      </x:c>
    </x:row>
    <x:row r="252" ht="20" customHeight="1">
      <x:c r="A252" s="49" t="str">
        <x:v>GSA003-20260802-0251</x:v>
      </x:c>
      <x:c r="B252" s="49" t="str">
        <x:v>GSA-003</x:v>
      </x:c>
      <x:c r="C252" s="49" t="str">
        <x:v>Granite Used Auto Center of Merrimack</x:v>
      </x:c>
      <x:c r="D252" s="245" t="n">
        <x:v>46236</x:v>
      </x:c>
      <x:c r="E252" s="49" t="str">
        <x:v>GSA003-20260802-001</x:v>
      </x:c>
      <x:c r="F252" s="49" t="str">
        <x:v>sanitized_public_inventory_reference</x:v>
      </x:c>
      <x:c r="G252" s="49" t="str">
        <x:v>Used</x:v>
      </x:c>
      <x:c r="H252" s="249" t="n">
        <x:v>2017</x:v>
      </x:c>
      <x:c r="I252" s="49" t="str">
        <x:v>Chevrolet</x:v>
      </x:c>
      <x:c r="J252" s="49" t="str">
        <x:v>Trax</x:v>
      </x:c>
      <x:c r="K252" s="49" t="str">
        <x:v>LT</x:v>
      </x:c>
      <x:c r="L252" s="49" t="str">
        <x:v>2017 Chevrolet Trax LT</x:v>
      </x:c>
      <x:c r="M252" s="253"/>
      <x:c r="N252" s="257"/>
      <x:c r="O252" s="49" t="str">
        <x:v>Price not exposed</x:v>
      </x:c>
      <x:c r="P252" s="49" t="str">
        <x:v>VEH-18791F164041</x:v>
      </x:c>
      <x:c r="Q252" s="49" t="str">
        <x:v>ARPI18791F1640419</x:v>
      </x:c>
      <x:c r="R252" s="249" t="n">
        <x:v>1</x:v>
      </x:c>
      <x:c r="S252" s="49" t="str">
        <x:v>Sanitized public reference data</x:v>
      </x:c>
    </x:row>
    <x:row r="253" ht="20" customHeight="1">
      <x:c r="A253" s="49" t="str">
        <x:v>GSA003-20260802-0252</x:v>
      </x:c>
      <x:c r="B253" s="49" t="str">
        <x:v>GSA-003</x:v>
      </x:c>
      <x:c r="C253" s="49" t="str">
        <x:v>Granite Used Auto Center of Merrimack</x:v>
      </x:c>
      <x:c r="D253" s="245" t="n">
        <x:v>46236</x:v>
      </x:c>
      <x:c r="E253" s="49" t="str">
        <x:v>GSA003-20260802-001</x:v>
      </x:c>
      <x:c r="F253" s="49" t="str">
        <x:v>sanitized_public_inventory_reference</x:v>
      </x:c>
      <x:c r="G253" s="49" t="str">
        <x:v>Used</x:v>
      </x:c>
      <x:c r="H253" s="249" t="n">
        <x:v>2013</x:v>
      </x:c>
      <x:c r="I253" s="49" t="str">
        <x:v>Subaru</x:v>
      </x:c>
      <x:c r="J253" s="49" t="str">
        <x:v>Forester</x:v>
      </x:c>
      <x:c r="K253" s="49" t="str">
        <x:v>2.5X</x:v>
      </x:c>
      <x:c r="L253" s="49" t="str">
        <x:v>2013 Subaru Forester 2.5X</x:v>
      </x:c>
      <x:c r="M253" s="253" t="n">
        <x:v>99113</x:v>
      </x:c>
      <x:c r="N253" s="257" t="n">
        <x:v>9395</x:v>
      </x:c>
      <x:c r="O253" s="49" t="str">
        <x:v>Listed</x:v>
      </x:c>
      <x:c r="P253" s="49" t="str">
        <x:v>VEH-549C9AFEFF72</x:v>
      </x:c>
      <x:c r="Q253" s="49" t="str">
        <x:v>ARPI549C9AFEFF729</x:v>
      </x:c>
      <x:c r="R253" s="249" t="n">
        <x:v>1</x:v>
      </x:c>
      <x:c r="S253" s="49" t="str">
        <x:v>Sanitized public reference data</x:v>
      </x:c>
    </x:row>
    <x:row r="254" ht="20" customHeight="1">
      <x:c r="A254" s="49" t="str">
        <x:v>GSA003-20260802-0253</x:v>
      </x:c>
      <x:c r="B254" s="49" t="str">
        <x:v>GSA-003</x:v>
      </x:c>
      <x:c r="C254" s="49" t="str">
        <x:v>Granite Used Auto Center of Merrimack</x:v>
      </x:c>
      <x:c r="D254" s="245" t="n">
        <x:v>46236</x:v>
      </x:c>
      <x:c r="E254" s="49" t="str">
        <x:v>GSA003-20260802-001</x:v>
      </x:c>
      <x:c r="F254" s="49" t="str">
        <x:v>sanitized_public_inventory_reference</x:v>
      </x:c>
      <x:c r="G254" s="49" t="str">
        <x:v>Used</x:v>
      </x:c>
      <x:c r="H254" s="249" t="n">
        <x:v>2019</x:v>
      </x:c>
      <x:c r="I254" s="49" t="str">
        <x:v>Dodge</x:v>
      </x:c>
      <x:c r="J254" s="49" t="str">
        <x:v>Journey</x:v>
      </x:c>
      <x:c r="K254" s="49" t="str">
        <x:v>SE</x:v>
      </x:c>
      <x:c r="L254" s="49" t="str">
        <x:v>2019 Dodge Journey SE</x:v>
      </x:c>
      <x:c r="M254" s="253" t="n">
        <x:v>147099</x:v>
      </x:c>
      <x:c r="N254" s="257" t="n">
        <x:v>7395</x:v>
      </x:c>
      <x:c r="O254" s="49" t="str">
        <x:v>Listed</x:v>
      </x:c>
      <x:c r="P254" s="49" t="str">
        <x:v>VEH-92C0CFCEC140</x:v>
      </x:c>
      <x:c r="Q254" s="49" t="str">
        <x:v>ARPI92C0CFCEC1404</x:v>
      </x:c>
      <x:c r="R254" s="249" t="n">
        <x:v>1</x:v>
      </x:c>
      <x:c r="S254" s="49" t="str">
        <x:v>Sanitized public reference data</x:v>
      </x:c>
    </x:row>
    <x:row r="255" ht="20" customHeight="1">
      <x:c r="A255" s="49" t="str">
        <x:v>GSA003-20260802-0254</x:v>
      </x:c>
      <x:c r="B255" s="49" t="str">
        <x:v>GSA-003</x:v>
      </x:c>
      <x:c r="C255" s="49" t="str">
        <x:v>Granite Used Auto Center of Merrimack</x:v>
      </x:c>
      <x:c r="D255" s="245" t="n">
        <x:v>46236</x:v>
      </x:c>
      <x:c r="E255" s="49" t="str">
        <x:v>GSA003-20260802-001</x:v>
      </x:c>
      <x:c r="F255" s="49" t="str">
        <x:v>sanitized_public_inventory_reference</x:v>
      </x:c>
      <x:c r="G255" s="49" t="str">
        <x:v>Used</x:v>
      </x:c>
      <x:c r="H255" s="249" t="n">
        <x:v>2021</x:v>
      </x:c>
      <x:c r="I255" s="49" t="str">
        <x:v>Ford</x:v>
      </x:c>
      <x:c r="J255" s="49" t="str">
        <x:v>F-250SD</x:v>
      </x:c>
      <x:c r="K255" s="49" t="str">
        <x:v>Lariat</x:v>
      </x:c>
      <x:c r="L255" s="49" t="str">
        <x:v>2021 Ford F-250SD Lariat</x:v>
      </x:c>
      <x:c r="M255" s="253"/>
      <x:c r="N255" s="257"/>
      <x:c r="O255" s="49" t="str">
        <x:v>Price not exposed</x:v>
      </x:c>
      <x:c r="P255" s="49" t="str">
        <x:v>VEH-D9A17FF16EB8</x:v>
      </x:c>
      <x:c r="Q255" s="49" t="str">
        <x:v>ARPID9A17FF16EB89</x:v>
      </x:c>
      <x:c r="R255" s="249" t="n">
        <x:v>1</x:v>
      </x:c>
      <x:c r="S255" s="49" t="str">
        <x:v>Sanitized public reference data</x:v>
      </x:c>
    </x:row>
    <x:row r="256" ht="20" customHeight="1">
      <x:c r="A256" s="49" t="str">
        <x:v>GSA003-20260802-0255</x:v>
      </x:c>
      <x:c r="B256" s="49" t="str">
        <x:v>GSA-003</x:v>
      </x:c>
      <x:c r="C256" s="49" t="str">
        <x:v>Granite Used Auto Center of Merrimack</x:v>
      </x:c>
      <x:c r="D256" s="245" t="n">
        <x:v>46236</x:v>
      </x:c>
      <x:c r="E256" s="49" t="str">
        <x:v>GSA003-20260802-001</x:v>
      </x:c>
      <x:c r="F256" s="49" t="str">
        <x:v>sanitized_public_inventory_reference</x:v>
      </x:c>
      <x:c r="G256" s="49" t="str">
        <x:v>Used</x:v>
      </x:c>
      <x:c r="H256" s="249" t="n">
        <x:v>2014</x:v>
      </x:c>
      <x:c r="I256" s="49" t="str">
        <x:v>Ford</x:v>
      </x:c>
      <x:c r="J256" s="49" t="str">
        <x:v>Edge</x:v>
      </x:c>
      <x:c r="K256" s="49" t="str">
        <x:v>Limited</x:v>
      </x:c>
      <x:c r="L256" s="49" t="str">
        <x:v>2014 Ford Edge Limited</x:v>
      </x:c>
      <x:c r="M256" s="253"/>
      <x:c r="N256" s="257"/>
      <x:c r="O256" s="49" t="str">
        <x:v>Price not exposed</x:v>
      </x:c>
      <x:c r="P256" s="49" t="str">
        <x:v>VEH-DA2AB2093ED9</x:v>
      </x:c>
      <x:c r="Q256" s="49" t="str">
        <x:v>ARPIDA2AB2093ED91</x:v>
      </x:c>
      <x:c r="R256" s="249" t="n">
        <x:v>1</x:v>
      </x:c>
      <x:c r="S256" s="49" t="str">
        <x:v>Sanitized public reference data</x:v>
      </x:c>
    </x:row>
    <x:row r="257" ht="20" customHeight="1">
      <x:c r="A257" s="49" t="str">
        <x:v>GSA003-20260802-0256</x:v>
      </x:c>
      <x:c r="B257" s="49" t="str">
        <x:v>GSA-003</x:v>
      </x:c>
      <x:c r="C257" s="49" t="str">
        <x:v>Granite Used Auto Center of Merrimack</x:v>
      </x:c>
      <x:c r="D257" s="245" t="n">
        <x:v>46236</x:v>
      </x:c>
      <x:c r="E257" s="49" t="str">
        <x:v>GSA003-20260802-001</x:v>
      </x:c>
      <x:c r="F257" s="49" t="str">
        <x:v>sanitized_public_inventory_reference</x:v>
      </x:c>
      <x:c r="G257" s="49" t="str">
        <x:v>Used</x:v>
      </x:c>
      <x:c r="H257" s="249" t="n">
        <x:v>2020</x:v>
      </x:c>
      <x:c r="I257" s="49" t="str">
        <x:v>Chevrolet</x:v>
      </x:c>
      <x:c r="J257" s="49" t="str">
        <x:v>Spark</x:v>
      </x:c>
      <x:c r="K257" s="49" t="str">
        <x:v>LS</x:v>
      </x:c>
      <x:c r="L257" s="49" t="str">
        <x:v>2020 Chevrolet Spark LS</x:v>
      </x:c>
      <x:c r="M257" s="253"/>
      <x:c r="N257" s="257"/>
      <x:c r="O257" s="49" t="str">
        <x:v>Price not exposed</x:v>
      </x:c>
      <x:c r="P257" s="49" t="str">
        <x:v>VEH-09457ABAB24C</x:v>
      </x:c>
      <x:c r="Q257" s="49" t="str">
        <x:v>ARPI09457ABAB24C0</x:v>
      </x:c>
      <x:c r="R257" s="249" t="n">
        <x:v>1</x:v>
      </x:c>
      <x:c r="S257" s="49" t="str">
        <x:v>Sanitized public reference data</x:v>
      </x:c>
    </x:row>
    <x:row r="258" ht="20" customHeight="1">
      <x:c r="A258" s="49" t="str">
        <x:v>GSA003-20260802-0257</x:v>
      </x:c>
      <x:c r="B258" s="49" t="str">
        <x:v>GSA-003</x:v>
      </x:c>
      <x:c r="C258" s="49" t="str">
        <x:v>Granite Used Auto Center of Merrimack</x:v>
      </x:c>
      <x:c r="D258" s="245" t="n">
        <x:v>46236</x:v>
      </x:c>
      <x:c r="E258" s="49" t="str">
        <x:v>GSA003-20260802-001</x:v>
      </x:c>
      <x:c r="F258" s="49" t="str">
        <x:v>sanitized_public_inventory_reference</x:v>
      </x:c>
      <x:c r="G258" s="49" t="str">
        <x:v>Used</x:v>
      </x:c>
      <x:c r="H258" s="249" t="n">
        <x:v>2024</x:v>
      </x:c>
      <x:c r="I258" s="49" t="str">
        <x:v>Ford</x:v>
      </x:c>
      <x:c r="J258" s="49" t="str">
        <x:v>F-250SD</x:v>
      </x:c>
      <x:c r="K258" s="49" t="str">
        <x:v>XL</x:v>
      </x:c>
      <x:c r="L258" s="49" t="str">
        <x:v>2024 Ford F-250SD XL</x:v>
      </x:c>
      <x:c r="M258" s="253" t="n">
        <x:v>11156</x:v>
      </x:c>
      <x:c r="N258" s="257" t="n">
        <x:v>42395</x:v>
      </x:c>
      <x:c r="O258" s="49" t="str">
        <x:v>Listed</x:v>
      </x:c>
      <x:c r="P258" s="49" t="str">
        <x:v>VEH-389F27B50E6A</x:v>
      </x:c>
      <x:c r="Q258" s="49" t="str">
        <x:v>ARPI389F27B50E6A6</x:v>
      </x:c>
      <x:c r="R258" s="249" t="n">
        <x:v>1</x:v>
      </x:c>
      <x:c r="S258" s="49" t="str">
        <x:v>Sanitized public reference data</x:v>
      </x:c>
    </x:row>
    <x:row r="259" ht="20" customHeight="1">
      <x:c r="A259" s="49" t="str">
        <x:v>GSA003-20260802-0258</x:v>
      </x:c>
      <x:c r="B259" s="49" t="str">
        <x:v>GSA-003</x:v>
      </x:c>
      <x:c r="C259" s="49" t="str">
        <x:v>Granite Used Auto Center of Merrimack</x:v>
      </x:c>
      <x:c r="D259" s="245" t="n">
        <x:v>46236</x:v>
      </x:c>
      <x:c r="E259" s="49" t="str">
        <x:v>GSA003-20260802-001</x:v>
      </x:c>
      <x:c r="F259" s="49" t="str">
        <x:v>sanitized_public_inventory_reference</x:v>
      </x:c>
      <x:c r="G259" s="49" t="str">
        <x:v>Used</x:v>
      </x:c>
      <x:c r="H259" s="249" t="n">
        <x:v>2024</x:v>
      </x:c>
      <x:c r="I259" s="49" t="str">
        <x:v>BMW</x:v>
      </x:c>
      <x:c r="J259" s="49" t="str">
        <x:v>X3</x:v>
      </x:c>
      <x:c r="K259" s="49" t="str">
        <x:v>M40i</x:v>
      </x:c>
      <x:c r="L259" s="49" t="str">
        <x:v>2024 BMW X3 M40i</x:v>
      </x:c>
      <x:c r="M259" s="253"/>
      <x:c r="N259" s="257"/>
      <x:c r="O259" s="49" t="str">
        <x:v>Price not exposed</x:v>
      </x:c>
      <x:c r="P259" s="49" t="str">
        <x:v>VEH-75024686354C</x:v>
      </x:c>
      <x:c r="Q259" s="49" t="str">
        <x:v>ARPI75024686354CF</x:v>
      </x:c>
      <x:c r="R259" s="249" t="n">
        <x:v>1</x:v>
      </x:c>
      <x:c r="S259" s="49" t="str">
        <x:v>Sanitized public reference data</x:v>
      </x:c>
    </x:row>
    <x:row r="260" ht="20" customHeight="1">
      <x:c r="A260" s="49" t="str">
        <x:v>GSA003-20260802-0259</x:v>
      </x:c>
      <x:c r="B260" s="49" t="str">
        <x:v>GSA-003</x:v>
      </x:c>
      <x:c r="C260" s="49" t="str">
        <x:v>Granite Used Auto Center of Merrimack</x:v>
      </x:c>
      <x:c r="D260" s="245" t="n">
        <x:v>46236</x:v>
      </x:c>
      <x:c r="E260" s="49" t="str">
        <x:v>GSA003-20260802-001</x:v>
      </x:c>
      <x:c r="F260" s="49" t="str">
        <x:v>sanitized_public_inventory_reference</x:v>
      </x:c>
      <x:c r="G260" s="49" t="str">
        <x:v>Used</x:v>
      </x:c>
      <x:c r="H260" s="249" t="n">
        <x:v>2013</x:v>
      </x:c>
      <x:c r="I260" s="49" t="str">
        <x:v>Dodge</x:v>
      </x:c>
      <x:c r="J260" s="49" t="str">
        <x:v>Challenger</x:v>
      </x:c>
      <x:c r="K260" s="49" t="str">
        <x:v>SXT</x:v>
      </x:c>
      <x:c r="L260" s="49" t="str">
        <x:v>2013 Dodge Challenger SXT</x:v>
      </x:c>
      <x:c r="M260" s="253"/>
      <x:c r="N260" s="257"/>
      <x:c r="O260" s="49" t="str">
        <x:v>Price not exposed</x:v>
      </x:c>
      <x:c r="P260" s="49" t="str">
        <x:v>VEH-F4E48FFB391C</x:v>
      </x:c>
      <x:c r="Q260" s="49" t="str">
        <x:v>ARPIF4E48FFB391CF</x:v>
      </x:c>
      <x:c r="R260" s="249" t="n">
        <x:v>1</x:v>
      </x:c>
      <x:c r="S260" s="49" t="str">
        <x:v>Sanitized public reference data</x:v>
      </x:c>
    </x:row>
    <x:row r="261" ht="20" customHeight="1">
      <x:c r="A261" s="49" t="str">
        <x:v>GSA003-20260802-0260</x:v>
      </x:c>
      <x:c r="B261" s="49" t="str">
        <x:v>GSA-003</x:v>
      </x:c>
      <x:c r="C261" s="49" t="str">
        <x:v>Granite Used Auto Center of Merrimack</x:v>
      </x:c>
      <x:c r="D261" s="245" t="n">
        <x:v>46236</x:v>
      </x:c>
      <x:c r="E261" s="49" t="str">
        <x:v>GSA003-20260802-001</x:v>
      </x:c>
      <x:c r="F261" s="49" t="str">
        <x:v>sanitized_public_inventory_reference</x:v>
      </x:c>
      <x:c r="G261" s="49" t="str">
        <x:v>Used</x:v>
      </x:c>
      <x:c r="H261" s="249" t="n">
        <x:v>2012</x:v>
      </x:c>
      <x:c r="I261" s="49" t="str">
        <x:v>Volkswagen</x:v>
      </x:c>
      <x:c r="J261" s="49" t="str">
        <x:v>Beetle</x:v>
      </x:c>
      <x:c r="K261" s="49" t="str">
        <x:v>2.5L</x:v>
      </x:c>
      <x:c r="L261" s="49" t="str">
        <x:v>2012 Volkswagen Beetle 2.5L</x:v>
      </x:c>
      <x:c r="M261" s="253"/>
      <x:c r="N261" s="257"/>
      <x:c r="O261" s="49" t="str">
        <x:v>Price not exposed</x:v>
      </x:c>
      <x:c r="P261" s="49" t="str">
        <x:v>VEH-D11A6B5D8B03</x:v>
      </x:c>
      <x:c r="Q261" s="49" t="str">
        <x:v>ARPID11A6B5D8B034</x:v>
      </x:c>
      <x:c r="R261" s="249" t="n">
        <x:v>1</x:v>
      </x:c>
      <x:c r="S261" s="49" t="str">
        <x:v>Sanitized public reference data</x:v>
      </x:c>
    </x:row>
    <x:row r="262" ht="20" customHeight="1">
      <x:c r="A262" s="49" t="str">
        <x:v>GSA003-20260802-0261</x:v>
      </x:c>
      <x:c r="B262" s="49" t="str">
        <x:v>GSA-003</x:v>
      </x:c>
      <x:c r="C262" s="49" t="str">
        <x:v>Granite Used Auto Center of Merrimack</x:v>
      </x:c>
      <x:c r="D262" s="245" t="n">
        <x:v>46236</x:v>
      </x:c>
      <x:c r="E262" s="49" t="str">
        <x:v>GSA003-20260802-001</x:v>
      </x:c>
      <x:c r="F262" s="49" t="str">
        <x:v>sanitized_public_inventory_reference</x:v>
      </x:c>
      <x:c r="G262" s="49" t="str">
        <x:v>Used</x:v>
      </x:c>
      <x:c r="H262" s="249" t="n">
        <x:v>2012</x:v>
      </x:c>
      <x:c r="I262" s="49" t="str">
        <x:v>GMC</x:v>
      </x:c>
      <x:c r="J262" s="49" t="str">
        <x:v>Terrain</x:v>
      </x:c>
      <x:c r="K262" s="49" t="str">
        <x:v>SLE-1</x:v>
      </x:c>
      <x:c r="L262" s="49" t="str">
        <x:v>2012 GMC Terrain SLE-1</x:v>
      </x:c>
      <x:c r="M262" s="253"/>
      <x:c r="N262" s="257"/>
      <x:c r="O262" s="49" t="str">
        <x:v>Price not exposed</x:v>
      </x:c>
      <x:c r="P262" s="49" t="str">
        <x:v>VEH-4042714E8E5D</x:v>
      </x:c>
      <x:c r="Q262" s="49" t="str">
        <x:v>ARPI4042714E8E5D4</x:v>
      </x:c>
      <x:c r="R262" s="249" t="n">
        <x:v>1</x:v>
      </x:c>
      <x:c r="S262" s="49" t="str">
        <x:v>Sanitized public reference data</x:v>
      </x:c>
    </x:row>
    <x:row r="263" ht="20" customHeight="1">
      <x:c r="A263" s="49" t="str">
        <x:v>GSA003-20260802-0262</x:v>
      </x:c>
      <x:c r="B263" s="49" t="str">
        <x:v>GSA-003</x:v>
      </x:c>
      <x:c r="C263" s="49" t="str">
        <x:v>Granite Used Auto Center of Merrimack</x:v>
      </x:c>
      <x:c r="D263" s="245" t="n">
        <x:v>46236</x:v>
      </x:c>
      <x:c r="E263" s="49" t="str">
        <x:v>GSA003-20260802-001</x:v>
      </x:c>
      <x:c r="F263" s="49" t="str">
        <x:v>sanitized_public_inventory_reference</x:v>
      </x:c>
      <x:c r="G263" s="49" t="str">
        <x:v>Used</x:v>
      </x:c>
      <x:c r="H263" s="249" t="n">
        <x:v>2015</x:v>
      </x:c>
      <x:c r="I263" s="49" t="str">
        <x:v>GMC</x:v>
      </x:c>
      <x:c r="J263" s="49" t="str">
        <x:v>Sierra 2500HD</x:v>
      </x:c>
      <x:c r="K263" s="49" t="str">
        <x:v>Base</x:v>
      </x:c>
      <x:c r="L263" s="49" t="str">
        <x:v>2015 GMC Sierra 2500HD Base</x:v>
      </x:c>
      <x:c r="M263" s="253"/>
      <x:c r="N263" s="257"/>
      <x:c r="O263" s="49" t="str">
        <x:v>Price not exposed</x:v>
      </x:c>
      <x:c r="P263" s="49" t="str">
        <x:v>VEH-D7B018639637</x:v>
      </x:c>
      <x:c r="Q263" s="49" t="str">
        <x:v>ARPID7B0186396376</x:v>
      </x:c>
      <x:c r="R263" s="249" t="n">
        <x:v>1</x:v>
      </x:c>
      <x:c r="S263" s="49" t="str">
        <x:v>Sanitized public reference data</x:v>
      </x:c>
    </x:row>
    <x:row r="264" ht="20" customHeight="1">
      <x:c r="A264" s="49" t="str">
        <x:v>GSA003-20260802-0263</x:v>
      </x:c>
      <x:c r="B264" s="49" t="str">
        <x:v>GSA-003</x:v>
      </x:c>
      <x:c r="C264" s="49" t="str">
        <x:v>Granite Used Auto Center of Merrimack</x:v>
      </x:c>
      <x:c r="D264" s="245" t="n">
        <x:v>46236</x:v>
      </x:c>
      <x:c r="E264" s="49" t="str">
        <x:v>GSA003-20260802-001</x:v>
      </x:c>
      <x:c r="F264" s="49" t="str">
        <x:v>sanitized_public_inventory_reference</x:v>
      </x:c>
      <x:c r="G264" s="49" t="str">
        <x:v>Used</x:v>
      </x:c>
      <x:c r="H264" s="249" t="n">
        <x:v>2017</x:v>
      </x:c>
      <x:c r="I264" s="49" t="str">
        <x:v>Chevrolet</x:v>
      </x:c>
      <x:c r="J264" s="49" t="str">
        <x:v>Silverado 2500HD</x:v>
      </x:c>
      <x:c r="K264" s="49" t="str">
        <x:v>LTZ</x:v>
      </x:c>
      <x:c r="L264" s="49" t="str">
        <x:v>2017 Chevrolet Silverado 2500HD LTZ</x:v>
      </x:c>
      <x:c r="M264" s="253"/>
      <x:c r="N264" s="257"/>
      <x:c r="O264" s="49" t="str">
        <x:v>Price not exposed</x:v>
      </x:c>
      <x:c r="P264" s="49" t="str">
        <x:v>VEH-8F9A110933F0</x:v>
      </x:c>
      <x:c r="Q264" s="49" t="str">
        <x:v>ARPI8F9A110933F0F</x:v>
      </x:c>
      <x:c r="R264" s="249" t="n">
        <x:v>1</x:v>
      </x:c>
      <x:c r="S264" s="49" t="str">
        <x:v>Sanitized public reference data</x:v>
      </x:c>
    </x:row>
    <x:row r="265" ht="20" customHeight="1">
      <x:c r="A265" s="49" t="str">
        <x:v>GSA003-20260802-0264</x:v>
      </x:c>
      <x:c r="B265" s="49" t="str">
        <x:v>GSA-003</x:v>
      </x:c>
      <x:c r="C265" s="49" t="str">
        <x:v>Granite Used Auto Center of Merrimack</x:v>
      </x:c>
      <x:c r="D265" s="245" t="n">
        <x:v>46236</x:v>
      </x:c>
      <x:c r="E265" s="49" t="str">
        <x:v>GSA003-20260802-001</x:v>
      </x:c>
      <x:c r="F265" s="49" t="str">
        <x:v>sanitized_public_inventory_reference</x:v>
      </x:c>
      <x:c r="G265" s="49" t="str">
        <x:v>Used</x:v>
      </x:c>
      <x:c r="H265" s="249" t="n">
        <x:v>2019</x:v>
      </x:c>
      <x:c r="I265" s="49" t="str">
        <x:v>Chevrolet</x:v>
      </x:c>
      <x:c r="J265" s="49" t="str">
        <x:v>Silverado 1500 LD</x:v>
      </x:c>
      <x:c r="K265" s="49" t="str">
        <x:v>LT</x:v>
      </x:c>
      <x:c r="L265" s="49" t="str">
        <x:v>2019 Chevrolet Silverado 1500 LD LT</x:v>
      </x:c>
      <x:c r="M265" s="253" t="n">
        <x:v>97377</x:v>
      </x:c>
      <x:c r="N265" s="257" t="n">
        <x:v>20395</x:v>
      </x:c>
      <x:c r="O265" s="49" t="str">
        <x:v>Listed</x:v>
      </x:c>
      <x:c r="P265" s="49" t="str">
        <x:v>VEH-A293735A44A9</x:v>
      </x:c>
      <x:c r="Q265" s="49" t="str">
        <x:v>ARPIA293735A44A98</x:v>
      </x:c>
      <x:c r="R265" s="249" t="n">
        <x:v>1</x:v>
      </x:c>
      <x:c r="S265" s="49" t="str">
        <x:v>Sanitized public reference data</x:v>
      </x:c>
    </x:row>
    <x:row r="266" ht="20" customHeight="1">
      <x:c r="A266" s="49" t="str">
        <x:v>GSA003-20260802-0265</x:v>
      </x:c>
      <x:c r="B266" s="49" t="str">
        <x:v>GSA-003</x:v>
      </x:c>
      <x:c r="C266" s="49" t="str">
        <x:v>Granite Used Auto Center of Merrimack</x:v>
      </x:c>
      <x:c r="D266" s="245" t="n">
        <x:v>46236</x:v>
      </x:c>
      <x:c r="E266" s="49" t="str">
        <x:v>GSA003-20260802-001</x:v>
      </x:c>
      <x:c r="F266" s="49" t="str">
        <x:v>sanitized_public_inventory_reference</x:v>
      </x:c>
      <x:c r="G266" s="49" t="str">
        <x:v>Used</x:v>
      </x:c>
      <x:c r="H266" s="249" t="n">
        <x:v>2019</x:v>
      </x:c>
      <x:c r="I266" s="49" t="str">
        <x:v>Ram</x:v>
      </x:c>
      <x:c r="J266" s="49" t="str">
        <x:v>1500 Classic</x:v>
      </x:c>
      <x:c r="K266" s="49" t="str">
        <x:v>Express</x:v>
      </x:c>
      <x:c r="L266" s="49" t="str">
        <x:v>2019 Ram 1500 Classic Express</x:v>
      </x:c>
      <x:c r="M266" s="253"/>
      <x:c r="N266" s="257"/>
      <x:c r="O266" s="49" t="str">
        <x:v>Price not exposed</x:v>
      </x:c>
      <x:c r="P266" s="49" t="str">
        <x:v>VEH-A122F5F4B334</x:v>
      </x:c>
      <x:c r="Q266" s="49" t="str">
        <x:v>ARPIA122F5F4B3347</x:v>
      </x:c>
      <x:c r="R266" s="249" t="n">
        <x:v>1</x:v>
      </x:c>
      <x:c r="S266" s="49" t="str">
        <x:v>Sanitized public reference data</x:v>
      </x:c>
    </x:row>
    <x:row r="267" ht="20" customHeight="1">
      <x:c r="A267" s="49" t="str">
        <x:v>GSA003-20260802-0266</x:v>
      </x:c>
      <x:c r="B267" s="49" t="str">
        <x:v>GSA-003</x:v>
      </x:c>
      <x:c r="C267" s="49" t="str">
        <x:v>Granite Used Auto Center of Merrimack</x:v>
      </x:c>
      <x:c r="D267" s="245" t="n">
        <x:v>46236</x:v>
      </x:c>
      <x:c r="E267" s="49" t="str">
        <x:v>GSA003-20260802-001</x:v>
      </x:c>
      <x:c r="F267" s="49" t="str">
        <x:v>sanitized_public_inventory_reference</x:v>
      </x:c>
      <x:c r="G267" s="49" t="str">
        <x:v>Used</x:v>
      </x:c>
      <x:c r="H267" s="249" t="n">
        <x:v>2019</x:v>
      </x:c>
      <x:c r="I267" s="49" t="str">
        <x:v>GMC</x:v>
      </x:c>
      <x:c r="J267" s="49" t="str">
        <x:v>Yukon XL</x:v>
      </x:c>
      <x:c r="K267" s="49" t="str">
        <x:v>Denali</x:v>
      </x:c>
      <x:c r="L267" s="49" t="str">
        <x:v>2019 GMC Yukon XL Denali</x:v>
      </x:c>
      <x:c r="M267" s="253"/>
      <x:c r="N267" s="257"/>
      <x:c r="O267" s="49" t="str">
        <x:v>Price not exposed</x:v>
      </x:c>
      <x:c r="P267" s="49" t="str">
        <x:v>VEH-01F2F5F5CDAE</x:v>
      </x:c>
      <x:c r="Q267" s="49" t="str">
        <x:v>ARPI01F2F5F5CDAE2</x:v>
      </x:c>
      <x:c r="R267" s="249" t="n">
        <x:v>1</x:v>
      </x:c>
      <x:c r="S267" s="49" t="str">
        <x:v>Sanitized public reference data</x:v>
      </x:c>
    </x:row>
    <x:row r="268" ht="20" customHeight="1">
      <x:c r="A268" s="49" t="str">
        <x:v>GSA003-20260802-0267</x:v>
      </x:c>
      <x:c r="B268" s="49" t="str">
        <x:v>GSA-003</x:v>
      </x:c>
      <x:c r="C268" s="49" t="str">
        <x:v>Granite Used Auto Center of Merrimack</x:v>
      </x:c>
      <x:c r="D268" s="245" t="n">
        <x:v>46236</x:v>
      </x:c>
      <x:c r="E268" s="49" t="str">
        <x:v>GSA003-20260802-001</x:v>
      </x:c>
      <x:c r="F268" s="49" t="str">
        <x:v>sanitized_public_inventory_reference</x:v>
      </x:c>
      <x:c r="G268" s="49" t="str">
        <x:v>Used</x:v>
      </x:c>
      <x:c r="H268" s="249" t="n">
        <x:v>2023</x:v>
      </x:c>
      <x:c r="I268" s="49" t="str">
        <x:v>Kia</x:v>
      </x:c>
      <x:c r="J268" s="49" t="str">
        <x:v>Stinger</x:v>
      </x:c>
      <x:c r="K268" s="49" t="str">
        <x:v>GT-Line</x:v>
      </x:c>
      <x:c r="L268" s="49" t="str">
        <x:v>2023 Kia Stinger GT-Line</x:v>
      </x:c>
      <x:c r="M268" s="253"/>
      <x:c r="N268" s="257"/>
      <x:c r="O268" s="49" t="str">
        <x:v>Price not exposed</x:v>
      </x:c>
      <x:c r="P268" s="49" t="str">
        <x:v>VEH-F24D79311CF8</x:v>
      </x:c>
      <x:c r="Q268" s="49" t="str">
        <x:v>ARPIF24D79311CF80</x:v>
      </x:c>
      <x:c r="R268" s="249" t="n">
        <x:v>1</x:v>
      </x:c>
      <x:c r="S268" s="49" t="str">
        <x:v>Sanitized public reference data</x:v>
      </x:c>
    </x:row>
    <x:row r="269" ht="20" customHeight="1">
      <x:c r="A269" s="49" t="str">
        <x:v>GSA003-20260802-0268</x:v>
      </x:c>
      <x:c r="B269" s="49" t="str">
        <x:v>GSA-003</x:v>
      </x:c>
      <x:c r="C269" s="49" t="str">
        <x:v>Granite Used Auto Center of Merrimack</x:v>
      </x:c>
      <x:c r="D269" s="245" t="n">
        <x:v>46236</x:v>
      </x:c>
      <x:c r="E269" s="49" t="str">
        <x:v>GSA003-20260802-001</x:v>
      </x:c>
      <x:c r="F269" s="49" t="str">
        <x:v>sanitized_public_inventory_reference</x:v>
      </x:c>
      <x:c r="G269" s="49" t="str">
        <x:v>Used</x:v>
      </x:c>
      <x:c r="H269" s="249" t="n">
        <x:v>2017</x:v>
      </x:c>
      <x:c r="I269" s="49" t="str">
        <x:v>Chevrolet</x:v>
      </x:c>
      <x:c r="J269" s="49" t="str">
        <x:v>Cruze</x:v>
      </x:c>
      <x:c r="K269" s="49" t="str">
        <x:v>LT</x:v>
      </x:c>
      <x:c r="L269" s="49" t="str">
        <x:v>2017 Chevrolet Cruze LT</x:v>
      </x:c>
      <x:c r="M269" s="253"/>
      <x:c r="N269" s="257"/>
      <x:c r="O269" s="49" t="str">
        <x:v>Price not exposed</x:v>
      </x:c>
      <x:c r="P269" s="49" t="str">
        <x:v>VEH-5A1DF282BD18</x:v>
      </x:c>
      <x:c r="Q269" s="49" t="str">
        <x:v>ARPI5A1DF282BD18B</x:v>
      </x:c>
      <x:c r="R269" s="249" t="n">
        <x:v>1</x:v>
      </x:c>
      <x:c r="S269" s="49" t="str">
        <x:v>Sanitized public reference data</x:v>
      </x:c>
    </x:row>
    <x:row r="270" ht="20" customHeight="1">
      <x:c r="A270" s="49" t="str">
        <x:v>GSA003-20260802-0269</x:v>
      </x:c>
      <x:c r="B270" s="49" t="str">
        <x:v>GSA-003</x:v>
      </x:c>
      <x:c r="C270" s="49" t="str">
        <x:v>Granite Used Auto Center of Merrimack</x:v>
      </x:c>
      <x:c r="D270" s="245" t="n">
        <x:v>46236</x:v>
      </x:c>
      <x:c r="E270" s="49" t="str">
        <x:v>GSA003-20260802-001</x:v>
      </x:c>
      <x:c r="F270" s="49" t="str">
        <x:v>sanitized_public_inventory_reference</x:v>
      </x:c>
      <x:c r="G270" s="49" t="str">
        <x:v>Used</x:v>
      </x:c>
      <x:c r="H270" s="249" t="n">
        <x:v>2020</x:v>
      </x:c>
      <x:c r="I270" s="49" t="str">
        <x:v>Chevrolet</x:v>
      </x:c>
      <x:c r="J270" s="49" t="str">
        <x:v>Silverado 1500</x:v>
      </x:c>
      <x:c r="K270" s="49" t="str">
        <x:v>LT</x:v>
      </x:c>
      <x:c r="L270" s="49" t="str">
        <x:v>2020 Chevrolet Silverado 1500 LT</x:v>
      </x:c>
      <x:c r="M270" s="253"/>
      <x:c r="N270" s="257"/>
      <x:c r="O270" s="49" t="str">
        <x:v>Price not exposed</x:v>
      </x:c>
      <x:c r="P270" s="49" t="str">
        <x:v>VEH-84B382005ADA</x:v>
      </x:c>
      <x:c r="Q270" s="49" t="str">
        <x:v>ARPI84B382005ADA2</x:v>
      </x:c>
      <x:c r="R270" s="249" t="n">
        <x:v>1</x:v>
      </x:c>
      <x:c r="S270" s="49" t="str">
        <x:v>Sanitized public reference data</x:v>
      </x:c>
    </x:row>
    <x:row r="271" ht="20" customHeight="1">
      <x:c r="A271" s="49" t="str">
        <x:v>GSA003-20260802-0270</x:v>
      </x:c>
      <x:c r="B271" s="49" t="str">
        <x:v>GSA-003</x:v>
      </x:c>
      <x:c r="C271" s="49" t="str">
        <x:v>Granite Used Auto Center of Merrimack</x:v>
      </x:c>
      <x:c r="D271" s="245" t="n">
        <x:v>46236</x:v>
      </x:c>
      <x:c r="E271" s="49" t="str">
        <x:v>GSA003-20260802-001</x:v>
      </x:c>
      <x:c r="F271" s="49" t="str">
        <x:v>sanitized_public_inventory_reference</x:v>
      </x:c>
      <x:c r="G271" s="49" t="str">
        <x:v>Used</x:v>
      </x:c>
      <x:c r="H271" s="249" t="n">
        <x:v>2016</x:v>
      </x:c>
      <x:c r="I271" s="49" t="str">
        <x:v>Nissan</x:v>
      </x:c>
      <x:c r="J271" s="49" t="str">
        <x:v>Rogue</x:v>
      </x:c>
      <x:c r="K271" s="49" t="str">
        <x:v>SV</x:v>
      </x:c>
      <x:c r="L271" s="49" t="str">
        <x:v>2016 Nissan Rogue SV</x:v>
      </x:c>
      <x:c r="M271" s="253" t="n">
        <x:v>100740</x:v>
      </x:c>
      <x:c r="N271" s="257" t="n">
        <x:v>9895</x:v>
      </x:c>
      <x:c r="O271" s="49" t="str">
        <x:v>Listed</x:v>
      </x:c>
      <x:c r="P271" s="49" t="str">
        <x:v>VEH-1A3F98894308</x:v>
      </x:c>
      <x:c r="Q271" s="49" t="str">
        <x:v>ARPI1A3F98894308B</x:v>
      </x:c>
      <x:c r="R271" s="249" t="n">
        <x:v>1</x:v>
      </x:c>
      <x:c r="S271" s="49" t="str">
        <x:v>Sanitized public reference data</x:v>
      </x:c>
    </x:row>
    <x:row r="272" ht="20" customHeight="1">
      <x:c r="A272" s="49" t="str">
        <x:v>GSA003-20260802-0271</x:v>
      </x:c>
      <x:c r="B272" s="49" t="str">
        <x:v>GSA-003</x:v>
      </x:c>
      <x:c r="C272" s="49" t="str">
        <x:v>Granite Used Auto Center of Merrimack</x:v>
      </x:c>
      <x:c r="D272" s="245" t="n">
        <x:v>46236</x:v>
      </x:c>
      <x:c r="E272" s="49" t="str">
        <x:v>GSA003-20260802-001</x:v>
      </x:c>
      <x:c r="F272" s="49" t="str">
        <x:v>sanitized_public_inventory_reference</x:v>
      </x:c>
      <x:c r="G272" s="49" t="str">
        <x:v>Used</x:v>
      </x:c>
      <x:c r="H272" s="249" t="n">
        <x:v>2020</x:v>
      </x:c>
      <x:c r="I272" s="49" t="str">
        <x:v>Buick</x:v>
      </x:c>
      <x:c r="J272" s="49" t="str">
        <x:v>Enclave</x:v>
      </x:c>
      <x:c r="K272" s="49" t="str">
        <x:v>Premium Group</x:v>
      </x:c>
      <x:c r="L272" s="49" t="str">
        <x:v>2020 Buick Enclave Premium Group</x:v>
      </x:c>
      <x:c r="M272" s="253"/>
      <x:c r="N272" s="257"/>
      <x:c r="O272" s="49" t="str">
        <x:v>Price not exposed</x:v>
      </x:c>
      <x:c r="P272" s="49" t="str">
        <x:v>VEH-630009063894</x:v>
      </x:c>
      <x:c r="Q272" s="49" t="str">
        <x:v>ARPI6300090638945</x:v>
      </x:c>
      <x:c r="R272" s="249" t="n">
        <x:v>1</x:v>
      </x:c>
      <x:c r="S272" s="49" t="str">
        <x:v>Sanitized public reference data</x:v>
      </x:c>
    </x:row>
    <x:row r="273" ht="20" customHeight="1">
      <x:c r="A273" s="49" t="str">
        <x:v>GSA003-20260802-0272</x:v>
      </x:c>
      <x:c r="B273" s="49" t="str">
        <x:v>GSA-003</x:v>
      </x:c>
      <x:c r="C273" s="49" t="str">
        <x:v>Granite Used Auto Center of Merrimack</x:v>
      </x:c>
      <x:c r="D273" s="245" t="n">
        <x:v>46236</x:v>
      </x:c>
      <x:c r="E273" s="49" t="str">
        <x:v>GSA003-20260802-001</x:v>
      </x:c>
      <x:c r="F273" s="49" t="str">
        <x:v>sanitized_public_inventory_reference</x:v>
      </x:c>
      <x:c r="G273" s="49" t="str">
        <x:v>Used</x:v>
      </x:c>
      <x:c r="H273" s="249" t="n">
        <x:v>2018</x:v>
      </x:c>
      <x:c r="I273" s="49" t="str">
        <x:v>Kia</x:v>
      </x:c>
      <x:c r="J273" s="49" t="str">
        <x:v>Sportage</x:v>
      </x:c>
      <x:c r="K273" s="49" t="str">
        <x:v>EX</x:v>
      </x:c>
      <x:c r="L273" s="49" t="str">
        <x:v>2018 Kia Sportage EX</x:v>
      </x:c>
      <x:c r="M273" s="253" t="n">
        <x:v>104508</x:v>
      </x:c>
      <x:c r="N273" s="257" t="n">
        <x:v>12395</x:v>
      </x:c>
      <x:c r="O273" s="49" t="str">
        <x:v>Listed</x:v>
      </x:c>
      <x:c r="P273" s="49" t="str">
        <x:v>VEH-90F002C57E6F</x:v>
      </x:c>
      <x:c r="Q273" s="49" t="str">
        <x:v>ARPI90F002C57E6F2</x:v>
      </x:c>
      <x:c r="R273" s="249" t="n">
        <x:v>1</x:v>
      </x:c>
      <x:c r="S273" s="49" t="str">
        <x:v>Sanitized public reference data</x:v>
      </x:c>
    </x:row>
    <x:row r="274" ht="20" customHeight="1">
      <x:c r="A274" s="49" t="str">
        <x:v>GSA003-20260802-0273</x:v>
      </x:c>
      <x:c r="B274" s="49" t="str">
        <x:v>GSA-003</x:v>
      </x:c>
      <x:c r="C274" s="49" t="str">
        <x:v>Granite Used Auto Center of Merrimack</x:v>
      </x:c>
      <x:c r="D274" s="245" t="n">
        <x:v>46236</x:v>
      </x:c>
      <x:c r="E274" s="49" t="str">
        <x:v>GSA003-20260802-001</x:v>
      </x:c>
      <x:c r="F274" s="49" t="str">
        <x:v>sanitized_public_inventory_reference</x:v>
      </x:c>
      <x:c r="G274" s="49" t="str">
        <x:v>Used</x:v>
      </x:c>
      <x:c r="H274" s="249" t="n">
        <x:v>2022</x:v>
      </x:c>
      <x:c r="I274" s="49" t="str">
        <x:v>Ram</x:v>
      </x:c>
      <x:c r="J274" s="49" t="str">
        <x:v>1500</x:v>
      </x:c>
      <x:c r="K274" s="49" t="str">
        <x:v>Sport</x:v>
      </x:c>
      <x:c r="L274" s="49" t="str">
        <x:v>2022 Ram 1500 Sport</x:v>
      </x:c>
      <x:c r="M274" s="253"/>
      <x:c r="N274" s="257"/>
      <x:c r="O274" s="49" t="str">
        <x:v>Price not exposed</x:v>
      </x:c>
      <x:c r="P274" s="49" t="str">
        <x:v>VEH-68E862A1E547</x:v>
      </x:c>
      <x:c r="Q274" s="49" t="str">
        <x:v>ARPI68E862A1E5470</x:v>
      </x:c>
      <x:c r="R274" s="249" t="n">
        <x:v>1</x:v>
      </x:c>
      <x:c r="S274" s="49" t="str">
        <x:v>Sanitized public reference data</x:v>
      </x:c>
    </x:row>
    <x:row r="275" ht="20" customHeight="1">
      <x:c r="A275" s="49" t="str">
        <x:v>GSA003-20260802-0274</x:v>
      </x:c>
      <x:c r="B275" s="49" t="str">
        <x:v>GSA-003</x:v>
      </x:c>
      <x:c r="C275" s="49" t="str">
        <x:v>Granite Used Auto Center of Merrimack</x:v>
      </x:c>
      <x:c r="D275" s="245" t="n">
        <x:v>46236</x:v>
      </x:c>
      <x:c r="E275" s="49" t="str">
        <x:v>GSA003-20260802-001</x:v>
      </x:c>
      <x:c r="F275" s="49" t="str">
        <x:v>sanitized_public_inventory_reference</x:v>
      </x:c>
      <x:c r="G275" s="49" t="str">
        <x:v>Used</x:v>
      </x:c>
      <x:c r="H275" s="249" t="n">
        <x:v>2017</x:v>
      </x:c>
      <x:c r="I275" s="49" t="str">
        <x:v>Volkswagen</x:v>
      </x:c>
      <x:c r="J275" s="49" t="str">
        <x:v>Passat</x:v>
      </x:c>
      <x:c r="K275" s="49" t="str">
        <x:v>1.8T SE</x:v>
      </x:c>
      <x:c r="L275" s="49" t="str">
        <x:v>2017 Volkswagen Passat 1.8T SE</x:v>
      </x:c>
      <x:c r="M275" s="253"/>
      <x:c r="N275" s="257"/>
      <x:c r="O275" s="49" t="str">
        <x:v>Price not exposed</x:v>
      </x:c>
      <x:c r="P275" s="49" t="str">
        <x:v>VEH-00A5BC053D36</x:v>
      </x:c>
      <x:c r="Q275" s="49" t="str">
        <x:v>ARPI00A5BC053D36F</x:v>
      </x:c>
      <x:c r="R275" s="249" t="n">
        <x:v>1</x:v>
      </x:c>
      <x:c r="S275" s="49" t="str">
        <x:v>Sanitized public reference data</x:v>
      </x:c>
    </x:row>
    <x:row r="276" ht="20" customHeight="1">
      <x:c r="A276" s="49" t="str">
        <x:v>GSA003-20260802-0275</x:v>
      </x:c>
      <x:c r="B276" s="49" t="str">
        <x:v>GSA-003</x:v>
      </x:c>
      <x:c r="C276" s="49" t="str">
        <x:v>Granite Used Auto Center of Merrimack</x:v>
      </x:c>
      <x:c r="D276" s="245" t="n">
        <x:v>46236</x:v>
      </x:c>
      <x:c r="E276" s="49" t="str">
        <x:v>GSA003-20260802-001</x:v>
      </x:c>
      <x:c r="F276" s="49" t="str">
        <x:v>sanitized_public_inventory_reference</x:v>
      </x:c>
      <x:c r="G276" s="49" t="str">
        <x:v>Used</x:v>
      </x:c>
      <x:c r="H276" s="249" t="n">
        <x:v>2014</x:v>
      </x:c>
      <x:c r="I276" s="49" t="str">
        <x:v>Honda</x:v>
      </x:c>
      <x:c r="J276" s="49" t="str">
        <x:v>Accord</x:v>
      </x:c>
      <x:c r="K276" s="49" t="str">
        <x:v>Sport</x:v>
      </x:c>
      <x:c r="L276" s="49" t="str">
        <x:v>2014 Honda Accord Sport</x:v>
      </x:c>
      <x:c r="M276" s="253"/>
      <x:c r="N276" s="257"/>
      <x:c r="O276" s="49" t="str">
        <x:v>Price not exposed</x:v>
      </x:c>
      <x:c r="P276" s="49" t="str">
        <x:v>VEH-11A7DEB67AC3</x:v>
      </x:c>
      <x:c r="Q276" s="49" t="str">
        <x:v>ARPI11A7DEB67AC37</x:v>
      </x:c>
      <x:c r="R276" s="249" t="n">
        <x:v>1</x:v>
      </x:c>
      <x:c r="S276" s="49" t="str">
        <x:v>Sanitized public reference data</x:v>
      </x:c>
    </x:row>
    <x:row r="277" ht="20" customHeight="1">
      <x:c r="A277" s="49" t="str">
        <x:v>GSA003-20260802-0276</x:v>
      </x:c>
      <x:c r="B277" s="49" t="str">
        <x:v>GSA-003</x:v>
      </x:c>
      <x:c r="C277" s="49" t="str">
        <x:v>Granite Used Auto Center of Merrimack</x:v>
      </x:c>
      <x:c r="D277" s="245" t="n">
        <x:v>46236</x:v>
      </x:c>
      <x:c r="E277" s="49" t="str">
        <x:v>GSA003-20260802-001</x:v>
      </x:c>
      <x:c r="F277" s="49" t="str">
        <x:v>sanitized_public_inventory_reference</x:v>
      </x:c>
      <x:c r="G277" s="49" t="str">
        <x:v>Used</x:v>
      </x:c>
      <x:c r="H277" s="249" t="n">
        <x:v>2012</x:v>
      </x:c>
      <x:c r="I277" s="49" t="str">
        <x:v>Chevrolet</x:v>
      </x:c>
      <x:c r="J277" s="49" t="str">
        <x:v>Suburban 1500</x:v>
      </x:c>
      <x:c r="K277" s="49" t="str">
        <x:v>LT</x:v>
      </x:c>
      <x:c r="L277" s="49" t="str">
        <x:v>2012 Chevrolet Suburban 1500 LT</x:v>
      </x:c>
      <x:c r="M277" s="253"/>
      <x:c r="N277" s="257"/>
      <x:c r="O277" s="49" t="str">
        <x:v>Price not exposed</x:v>
      </x:c>
      <x:c r="P277" s="49" t="str">
        <x:v>VEH-750127A2C656</x:v>
      </x:c>
      <x:c r="Q277" s="49" t="str">
        <x:v>ARPI750127A2C656A</x:v>
      </x:c>
      <x:c r="R277" s="249" t="n">
        <x:v>1</x:v>
      </x:c>
      <x:c r="S277" s="49" t="str">
        <x:v>Sanitized public reference data</x:v>
      </x:c>
    </x:row>
    <x:row r="278" ht="20" customHeight="1">
      <x:c r="A278" s="49" t="str">
        <x:v>GSA003-20260802-0277</x:v>
      </x:c>
      <x:c r="B278" s="49" t="str">
        <x:v>GSA-003</x:v>
      </x:c>
      <x:c r="C278" s="49" t="str">
        <x:v>Granite Used Auto Center of Merrimack</x:v>
      </x:c>
      <x:c r="D278" s="245" t="n">
        <x:v>46236</x:v>
      </x:c>
      <x:c r="E278" s="49" t="str">
        <x:v>GSA003-20260802-001</x:v>
      </x:c>
      <x:c r="F278" s="49" t="str">
        <x:v>sanitized_public_inventory_reference</x:v>
      </x:c>
      <x:c r="G278" s="49" t="str">
        <x:v>Used</x:v>
      </x:c>
      <x:c r="H278" s="249" t="n">
        <x:v>2014</x:v>
      </x:c>
      <x:c r="I278" s="49" t="str">
        <x:v>Chevrolet</x:v>
      </x:c>
      <x:c r="J278" s="49" t="str">
        <x:v>Cruze</x:v>
      </x:c>
      <x:c r="K278" s="49" t="str">
        <x:v>1LT</x:v>
      </x:c>
      <x:c r="L278" s="49" t="str">
        <x:v>2014 Chevrolet Cruze 1LT</x:v>
      </x:c>
      <x:c r="M278" s="253"/>
      <x:c r="N278" s="257"/>
      <x:c r="O278" s="49" t="str">
        <x:v>Price not exposed</x:v>
      </x:c>
      <x:c r="P278" s="49" t="str">
        <x:v>VEH-4C17A120A6E9</x:v>
      </x:c>
      <x:c r="Q278" s="49" t="str">
        <x:v>ARPI4C17A120A6E97</x:v>
      </x:c>
      <x:c r="R278" s="249" t="n">
        <x:v>1</x:v>
      </x:c>
      <x:c r="S278" s="49" t="str">
        <x:v>Sanitized public reference data</x:v>
      </x:c>
    </x:row>
    <x:row r="279" ht="20" customHeight="1">
      <x:c r="A279" s="49" t="str">
        <x:v>GSA003-20260802-0278</x:v>
      </x:c>
      <x:c r="B279" s="49" t="str">
        <x:v>GSA-003</x:v>
      </x:c>
      <x:c r="C279" s="49" t="str">
        <x:v>Granite Used Auto Center of Merrimack</x:v>
      </x:c>
      <x:c r="D279" s="245" t="n">
        <x:v>46236</x:v>
      </x:c>
      <x:c r="E279" s="49" t="str">
        <x:v>GSA003-20260802-001</x:v>
      </x:c>
      <x:c r="F279" s="49" t="str">
        <x:v>sanitized_public_inventory_reference</x:v>
      </x:c>
      <x:c r="G279" s="49" t="str">
        <x:v>Used</x:v>
      </x:c>
      <x:c r="H279" s="249" t="n">
        <x:v>2001</x:v>
      </x:c>
      <x:c r="I279" s="49" t="str">
        <x:v>Ford</x:v>
      </x:c>
      <x:c r="J279" s="49" t="str">
        <x:v>F-150</x:v>
      </x:c>
      <x:c r="K279" s="49" t="str">
        <x:v>XLT</x:v>
      </x:c>
      <x:c r="L279" s="49" t="str">
        <x:v>2001 Ford F-150 XLT</x:v>
      </x:c>
      <x:c r="M279" s="253"/>
      <x:c r="N279" s="257"/>
      <x:c r="O279" s="49" t="str">
        <x:v>Price not exposed</x:v>
      </x:c>
      <x:c r="P279" s="49" t="str">
        <x:v>VEH-BC749D34706F</x:v>
      </x:c>
      <x:c r="Q279" s="49" t="str">
        <x:v>ARPIBC749D34706FF</x:v>
      </x:c>
      <x:c r="R279" s="249" t="n">
        <x:v>1</x:v>
      </x:c>
      <x:c r="S279" s="49" t="str">
        <x:v>Sanitized public reference data</x:v>
      </x:c>
    </x:row>
    <x:row r="280" ht="20" customHeight="1">
      <x:c r="A280" s="49" t="str">
        <x:v>GSA003-20260802-0279</x:v>
      </x:c>
      <x:c r="B280" s="49" t="str">
        <x:v>GSA-003</x:v>
      </x:c>
      <x:c r="C280" s="49" t="str">
        <x:v>Granite Used Auto Center of Merrimack</x:v>
      </x:c>
      <x:c r="D280" s="245" t="n">
        <x:v>46236</x:v>
      </x:c>
      <x:c r="E280" s="49" t="str">
        <x:v>GSA003-20260802-001</x:v>
      </x:c>
      <x:c r="F280" s="49" t="str">
        <x:v>sanitized_public_inventory_reference</x:v>
      </x:c>
      <x:c r="G280" s="49" t="str">
        <x:v>Used</x:v>
      </x:c>
      <x:c r="H280" s="249" t="n">
        <x:v>2018</x:v>
      </x:c>
      <x:c r="I280" s="49" t="str">
        <x:v>Chevrolet</x:v>
      </x:c>
      <x:c r="J280" s="49" t="str">
        <x:v>Trax</x:v>
      </x:c>
      <x:c r="K280" s="49" t="str">
        <x:v>Premier</x:v>
      </x:c>
      <x:c r="L280" s="49" t="str">
        <x:v>2018 Chevrolet Trax Premier</x:v>
      </x:c>
      <x:c r="M280" s="253"/>
      <x:c r="N280" s="257"/>
      <x:c r="O280" s="49" t="str">
        <x:v>Price not exposed</x:v>
      </x:c>
      <x:c r="P280" s="49" t="str">
        <x:v>VEH-51A24B21E89E</x:v>
      </x:c>
      <x:c r="Q280" s="49" t="str">
        <x:v>ARPI51A24B21E89E9</x:v>
      </x:c>
      <x:c r="R280" s="249" t="n">
        <x:v>1</x:v>
      </x:c>
      <x:c r="S280" s="49" t="str">
        <x:v>Sanitized public reference data</x:v>
      </x:c>
    </x:row>
    <x:row r="281" ht="20" customHeight="1">
      <x:c r="A281" s="49" t="str">
        <x:v>GSA003-20260802-0280</x:v>
      </x:c>
      <x:c r="B281" s="49" t="str">
        <x:v>GSA-003</x:v>
      </x:c>
      <x:c r="C281" s="49" t="str">
        <x:v>Granite Used Auto Center of Merrimack</x:v>
      </x:c>
      <x:c r="D281" s="245" t="n">
        <x:v>46236</x:v>
      </x:c>
      <x:c r="E281" s="49" t="str">
        <x:v>GSA003-20260802-001</x:v>
      </x:c>
      <x:c r="F281" s="49" t="str">
        <x:v>sanitized_public_inventory_reference</x:v>
      </x:c>
      <x:c r="G281" s="49" t="str">
        <x:v>Used</x:v>
      </x:c>
      <x:c r="H281" s="249" t="n">
        <x:v>2004</x:v>
      </x:c>
      <x:c r="I281" s="49" t="str">
        <x:v>Honda</x:v>
      </x:c>
      <x:c r="J281" s="49" t="str">
        <x:v>Civic</x:v>
      </x:c>
      <x:c r="K281" s="49" t="str">
        <x:v>VP</x:v>
      </x:c>
      <x:c r="L281" s="49" t="str">
        <x:v>2004 Honda Civic VP</x:v>
      </x:c>
      <x:c r="M281" s="253"/>
      <x:c r="N281" s="257"/>
      <x:c r="O281" s="49" t="str">
        <x:v>Price not exposed</x:v>
      </x:c>
      <x:c r="P281" s="49" t="str">
        <x:v>VEH-9E515FD0A98A</x:v>
      </x:c>
      <x:c r="Q281" s="49" t="str">
        <x:v>ARPI9E515FD0A98A9</x:v>
      </x:c>
      <x:c r="R281" s="249" t="n">
        <x:v>1</x:v>
      </x:c>
      <x:c r="S281" s="49" t="str">
        <x:v>Sanitized public reference data</x:v>
      </x:c>
    </x:row>
    <x:row r="282" ht="20" customHeight="1">
      <x:c r="A282" s="49" t="str">
        <x:v>GSA003-20260802-0281</x:v>
      </x:c>
      <x:c r="B282" s="49" t="str">
        <x:v>GSA-003</x:v>
      </x:c>
      <x:c r="C282" s="49" t="str">
        <x:v>Granite Used Auto Center of Merrimack</x:v>
      </x:c>
      <x:c r="D282" s="245" t="n">
        <x:v>46236</x:v>
      </x:c>
      <x:c r="E282" s="49" t="str">
        <x:v>GSA003-20260802-001</x:v>
      </x:c>
      <x:c r="F282" s="49" t="str">
        <x:v>sanitized_public_inventory_reference</x:v>
      </x:c>
      <x:c r="G282" s="49" t="str">
        <x:v>Used</x:v>
      </x:c>
      <x:c r="H282" s="249" t="n">
        <x:v>2010</x:v>
      </x:c>
      <x:c r="I282" s="49" t="str">
        <x:v>Nissan</x:v>
      </x:c>
      <x:c r="J282" s="49" t="str">
        <x:v>Altima</x:v>
      </x:c>
      <x:c r="K282" s="49" t="str">
        <x:v>2.5 S</x:v>
      </x:c>
      <x:c r="L282" s="49" t="str">
        <x:v>2010 Nissan Altima 2.5 S</x:v>
      </x:c>
      <x:c r="M282" s="253"/>
      <x:c r="N282" s="257"/>
      <x:c r="O282" s="49" t="str">
        <x:v>Price not exposed</x:v>
      </x:c>
      <x:c r="P282" s="49" t="str">
        <x:v>VEH-2278495C85C1</x:v>
      </x:c>
      <x:c r="Q282" s="49" t="str">
        <x:v>ARPI2278495C85C1E</x:v>
      </x:c>
      <x:c r="R282" s="249" t="n">
        <x:v>1</x:v>
      </x:c>
      <x:c r="S282" s="49" t="str">
        <x:v>Sanitized public reference data</x:v>
      </x:c>
    </x:row>
    <x:row r="283" ht="20" customHeight="1">
      <x:c r="A283" s="49" t="str">
        <x:v>GSA003-20260802-0282</x:v>
      </x:c>
      <x:c r="B283" s="49" t="str">
        <x:v>GSA-003</x:v>
      </x:c>
      <x:c r="C283" s="49" t="str">
        <x:v>Granite Used Auto Center of Merrimack</x:v>
      </x:c>
      <x:c r="D283" s="245" t="n">
        <x:v>46236</x:v>
      </x:c>
      <x:c r="E283" s="49" t="str">
        <x:v>GSA003-20260802-001</x:v>
      </x:c>
      <x:c r="F283" s="49" t="str">
        <x:v>sanitized_public_inventory_reference</x:v>
      </x:c>
      <x:c r="G283" s="49" t="str">
        <x:v>Used</x:v>
      </x:c>
      <x:c r="H283" s="249" t="n">
        <x:v>2008</x:v>
      </x:c>
      <x:c r="I283" s="49" t="str">
        <x:v>Buick</x:v>
      </x:c>
      <x:c r="J283" s="49" t="str">
        <x:v>Enclave</x:v>
      </x:c>
      <x:c r="K283" s="49" t="str">
        <x:v>CXL</x:v>
      </x:c>
      <x:c r="L283" s="49" t="str">
        <x:v>2008 Buick Enclave CXL</x:v>
      </x:c>
      <x:c r="M283" s="253"/>
      <x:c r="N283" s="257"/>
      <x:c r="O283" s="49" t="str">
        <x:v>Price not exposed</x:v>
      </x:c>
      <x:c r="P283" s="49" t="str">
        <x:v>VEH-FD21B195AC58</x:v>
      </x:c>
      <x:c r="Q283" s="49" t="str">
        <x:v>ARPIFD21B195AC58D</x:v>
      </x:c>
      <x:c r="R283" s="249" t="n">
        <x:v>1</x:v>
      </x:c>
      <x:c r="S283" s="49" t="str">
        <x:v>Sanitized public reference data</x:v>
      </x:c>
    </x:row>
    <x:row r="284" ht="20" customHeight="1">
      <x:c r="A284" s="49" t="str">
        <x:v>GSA003-20260802-0283</x:v>
      </x:c>
      <x:c r="B284" s="49" t="str">
        <x:v>GSA-003</x:v>
      </x:c>
      <x:c r="C284" s="49" t="str">
        <x:v>Granite Used Auto Center of Merrimack</x:v>
      </x:c>
      <x:c r="D284" s="245" t="n">
        <x:v>46236</x:v>
      </x:c>
      <x:c r="E284" s="49" t="str">
        <x:v>GSA003-20260802-001</x:v>
      </x:c>
      <x:c r="F284" s="49" t="str">
        <x:v>sanitized_public_inventory_reference</x:v>
      </x:c>
      <x:c r="G284" s="49" t="str">
        <x:v>Used</x:v>
      </x:c>
      <x:c r="H284" s="249" t="n">
        <x:v>2011</x:v>
      </x:c>
      <x:c r="I284" s="49" t="str">
        <x:v>Mazda</x:v>
      </x:c>
      <x:c r="J284" s="49" t="str">
        <x:v>Tribute</x:v>
      </x:c>
      <x:c r="K284" s="49" t="str">
        <x:v>i</x:v>
      </x:c>
      <x:c r="L284" s="49" t="str">
        <x:v>2011 Mazda Tribute i</x:v>
      </x:c>
      <x:c r="M284" s="253"/>
      <x:c r="N284" s="257"/>
      <x:c r="O284" s="49" t="str">
        <x:v>Price not exposed</x:v>
      </x:c>
      <x:c r="P284" s="49" t="str">
        <x:v>VEH-FADBBE385C37</x:v>
      </x:c>
      <x:c r="Q284" s="49" t="str">
        <x:v>ARPIFADBBE385C371</x:v>
      </x:c>
      <x:c r="R284" s="249" t="n">
        <x:v>1</x:v>
      </x:c>
      <x:c r="S284" s="49" t="str">
        <x:v>Sanitized public reference data</x:v>
      </x:c>
    </x:row>
    <x:row r="285" ht="20" customHeight="1">
      <x:c r="A285" s="49" t="str">
        <x:v>GSA003-20260802-0284</x:v>
      </x:c>
      <x:c r="B285" s="49" t="str">
        <x:v>GSA-003</x:v>
      </x:c>
      <x:c r="C285" s="49" t="str">
        <x:v>Granite Used Auto Center of Merrimack</x:v>
      </x:c>
      <x:c r="D285" s="245" t="n">
        <x:v>46236</x:v>
      </x:c>
      <x:c r="E285" s="49" t="str">
        <x:v>GSA003-20260802-001</x:v>
      </x:c>
      <x:c r="F285" s="49" t="str">
        <x:v>sanitized_public_inventory_reference</x:v>
      </x:c>
      <x:c r="G285" s="49" t="str">
        <x:v>Used</x:v>
      </x:c>
      <x:c r="H285" s="249" t="n">
        <x:v>2006</x:v>
      </x:c>
      <x:c r="I285" s="49" t="str">
        <x:v>Toyota</x:v>
      </x:c>
      <x:c r="J285" s="49" t="str">
        <x:v>Camry</x:v>
      </x:c>
      <x:c r="K285" s="49" t="str">
        <x:v>LE</x:v>
      </x:c>
      <x:c r="L285" s="49" t="str">
        <x:v>2006 Toyota Camry LE</x:v>
      </x:c>
      <x:c r="M285" s="253"/>
      <x:c r="N285" s="257"/>
      <x:c r="O285" s="49" t="str">
        <x:v>Price not exposed</x:v>
      </x:c>
      <x:c r="P285" s="49" t="str">
        <x:v>VEH-BA93D9AB76B3</x:v>
      </x:c>
      <x:c r="Q285" s="49" t="str">
        <x:v>ARPIBA93D9AB76B3F</x:v>
      </x:c>
      <x:c r="R285" s="249" t="n">
        <x:v>1</x:v>
      </x:c>
      <x:c r="S285" s="49" t="str">
        <x:v>Sanitized public reference data</x:v>
      </x:c>
    </x:row>
    <x:row r="286" ht="20" customHeight="1">
      <x:c r="A286" s="49" t="str">
        <x:v>GSA003-20260802-0285</x:v>
      </x:c>
      <x:c r="B286" s="49" t="str">
        <x:v>GSA-003</x:v>
      </x:c>
      <x:c r="C286" s="49" t="str">
        <x:v>Granite Used Auto Center of Merrimack</x:v>
      </x:c>
      <x:c r="D286" s="245" t="n">
        <x:v>46236</x:v>
      </x:c>
      <x:c r="E286" s="49" t="str">
        <x:v>GSA003-20260802-001</x:v>
      </x:c>
      <x:c r="F286" s="49" t="str">
        <x:v>sanitized_public_inventory_reference</x:v>
      </x:c>
      <x:c r="G286" s="49" t="str">
        <x:v>Used</x:v>
      </x:c>
      <x:c r="H286" s="249" t="n">
        <x:v>2004</x:v>
      </x:c>
      <x:c r="I286" s="49" t="str">
        <x:v>Honda</x:v>
      </x:c>
      <x:c r="J286" s="49" t="str">
        <x:v>CR-V</x:v>
      </x:c>
      <x:c r="K286" s="49" t="str">
        <x:v>EX</x:v>
      </x:c>
      <x:c r="L286" s="49" t="str">
        <x:v>2004 Honda CR-V EX</x:v>
      </x:c>
      <x:c r="M286" s="253"/>
      <x:c r="N286" s="257"/>
      <x:c r="O286" s="49" t="str">
        <x:v>Price not exposed</x:v>
      </x:c>
      <x:c r="P286" s="49" t="str">
        <x:v>VEH-D33BEA241A37</x:v>
      </x:c>
      <x:c r="Q286" s="49" t="str">
        <x:v>ARPID33BEA241A372</x:v>
      </x:c>
      <x:c r="R286" s="249" t="n">
        <x:v>1</x:v>
      </x:c>
      <x:c r="S286" s="49" t="str">
        <x:v>Sanitized public reference data</x:v>
      </x:c>
    </x:row>
    <x:row r="287" ht="20" customHeight="1">
      <x:c r="A287" s="49" t="str">
        <x:v>GSA003-20260802-0286</x:v>
      </x:c>
      <x:c r="B287" s="49" t="str">
        <x:v>GSA-003</x:v>
      </x:c>
      <x:c r="C287" s="49" t="str">
        <x:v>Granite Used Auto Center of Merrimack</x:v>
      </x:c>
      <x:c r="D287" s="245" t="n">
        <x:v>46236</x:v>
      </x:c>
      <x:c r="E287" s="49" t="str">
        <x:v>GSA003-20260802-001</x:v>
      </x:c>
      <x:c r="F287" s="49" t="str">
        <x:v>sanitized_public_inventory_reference</x:v>
      </x:c>
      <x:c r="G287" s="49" t="str">
        <x:v>Used</x:v>
      </x:c>
      <x:c r="H287" s="249" t="n">
        <x:v>2020</x:v>
      </x:c>
      <x:c r="I287" s="49" t="str">
        <x:v>Acura</x:v>
      </x:c>
      <x:c r="J287" s="49" t="str">
        <x:v>TLX</x:v>
      </x:c>
      <x:c r="K287" s="49" t="str">
        <x:v>3.5L Technology Pkg</x:v>
      </x:c>
      <x:c r="L287" s="49" t="str">
        <x:v>2020 Acura TLX 3.5L Technology Pkg</x:v>
      </x:c>
      <x:c r="M287" s="253"/>
      <x:c r="N287" s="257"/>
      <x:c r="O287" s="49" t="str">
        <x:v>Price not exposed</x:v>
      </x:c>
      <x:c r="P287" s="49" t="str">
        <x:v>VEH-0FC5B7A3D323</x:v>
      </x:c>
      <x:c r="Q287" s="49" t="str">
        <x:v>ARPI0FC5B7A3D3235</x:v>
      </x:c>
      <x:c r="R287" s="249" t="n">
        <x:v>1</x:v>
      </x:c>
      <x:c r="S287" s="49" t="str">
        <x:v>Sanitized public reference data</x:v>
      </x:c>
    </x:row>
    <x:row r="288" ht="20" customHeight="1">
      <x:c r="A288" s="49" t="str">
        <x:v>GSA003-20260802-0287</x:v>
      </x:c>
      <x:c r="B288" s="49" t="str">
        <x:v>GSA-003</x:v>
      </x:c>
      <x:c r="C288" s="49" t="str">
        <x:v>Granite Used Auto Center of Merrimack</x:v>
      </x:c>
      <x:c r="D288" s="245" t="n">
        <x:v>46236</x:v>
      </x:c>
      <x:c r="E288" s="49" t="str">
        <x:v>GSA003-20260802-001</x:v>
      </x:c>
      <x:c r="F288" s="49" t="str">
        <x:v>sanitized_public_inventory_reference</x:v>
      </x:c>
      <x:c r="G288" s="49" t="str">
        <x:v>Used</x:v>
      </x:c>
      <x:c r="H288" s="249" t="n">
        <x:v>2019</x:v>
      </x:c>
      <x:c r="I288" s="49" t="str">
        <x:v>Jeep</x:v>
      </x:c>
      <x:c r="J288" s="49" t="str">
        <x:v>Cherokee</x:v>
      </x:c>
      <x:c r="K288" s="49" t="str">
        <x:v>Overland</x:v>
      </x:c>
      <x:c r="L288" s="49" t="str">
        <x:v>2019 Jeep Cherokee Overland</x:v>
      </x:c>
      <x:c r="M288" s="253"/>
      <x:c r="N288" s="257"/>
      <x:c r="O288" s="49" t="str">
        <x:v>Price not exposed</x:v>
      </x:c>
      <x:c r="P288" s="49" t="str">
        <x:v>VEH-5F094E68A487</x:v>
      </x:c>
      <x:c r="Q288" s="49" t="str">
        <x:v>ARPI5F094E68A4870</x:v>
      </x:c>
      <x:c r="R288" s="249" t="n">
        <x:v>1</x:v>
      </x:c>
      <x:c r="S288" s="49" t="str">
        <x:v>Sanitized public reference data</x:v>
      </x:c>
    </x:row>
    <x:row r="289" ht="20" customHeight="1">
      <x:c r="A289" s="49" t="str">
        <x:v>GSA003-20260802-0288</x:v>
      </x:c>
      <x:c r="B289" s="49" t="str">
        <x:v>GSA-003</x:v>
      </x:c>
      <x:c r="C289" s="49" t="str">
        <x:v>Granite Used Auto Center of Merrimack</x:v>
      </x:c>
      <x:c r="D289" s="245" t="n">
        <x:v>46236</x:v>
      </x:c>
      <x:c r="E289" s="49" t="str">
        <x:v>GSA003-20260802-001</x:v>
      </x:c>
      <x:c r="F289" s="49" t="str">
        <x:v>sanitized_public_inventory_reference</x:v>
      </x:c>
      <x:c r="G289" s="49" t="str">
        <x:v>Used</x:v>
      </x:c>
      <x:c r="H289" s="249" t="n">
        <x:v>2024</x:v>
      </x:c>
      <x:c r="I289" s="49" t="str">
        <x:v>Dodge</x:v>
      </x:c>
      <x:c r="J289" s="49" t="str">
        <x:v>Durango</x:v>
      </x:c>
      <x:c r="K289" s="49" t="str">
        <x:v>GT Plus</x:v>
      </x:c>
      <x:c r="L289" s="49" t="str">
        <x:v>2024 Dodge Durango GT Plus</x:v>
      </x:c>
      <x:c r="M289" s="253"/>
      <x:c r="N289" s="257"/>
      <x:c r="O289" s="49" t="str">
        <x:v>Price not exposed</x:v>
      </x:c>
      <x:c r="P289" s="49" t="str">
        <x:v>VEH-986E7A877B1A</x:v>
      </x:c>
      <x:c r="Q289" s="49" t="str">
        <x:v>ARPI986E7A877B1A3</x:v>
      </x:c>
      <x:c r="R289" s="249" t="n">
        <x:v>1</x:v>
      </x:c>
      <x:c r="S289" s="49" t="str">
        <x:v>Sanitized public reference data</x:v>
      </x:c>
    </x:row>
    <x:row r="290" ht="20" customHeight="1">
      <x:c r="A290" s="49" t="str">
        <x:v>GSA003-20260802-0289</x:v>
      </x:c>
      <x:c r="B290" s="49" t="str">
        <x:v>GSA-003</x:v>
      </x:c>
      <x:c r="C290" s="49" t="str">
        <x:v>Granite Used Auto Center of Merrimack</x:v>
      </x:c>
      <x:c r="D290" s="245" t="n">
        <x:v>46236</x:v>
      </x:c>
      <x:c r="E290" s="49" t="str">
        <x:v>GSA003-20260802-001</x:v>
      </x:c>
      <x:c r="F290" s="49" t="str">
        <x:v>sanitized_public_inventory_reference</x:v>
      </x:c>
      <x:c r="G290" s="49" t="str">
        <x:v>Used</x:v>
      </x:c>
      <x:c r="H290" s="249" t="n">
        <x:v>2015</x:v>
      </x:c>
      <x:c r="I290" s="49" t="str">
        <x:v>Jeep</x:v>
      </x:c>
      <x:c r="J290" s="49" t="str">
        <x:v>Grand Cherokee</x:v>
      </x:c>
      <x:c r="K290" s="49" t="str">
        <x:v>Laredo</x:v>
      </x:c>
      <x:c r="L290" s="49" t="str">
        <x:v>2015 Jeep Grand Cherokee Laredo</x:v>
      </x:c>
      <x:c r="M290" s="253"/>
      <x:c r="N290" s="257"/>
      <x:c r="O290" s="49" t="str">
        <x:v>Price not exposed</x:v>
      </x:c>
      <x:c r="P290" s="49" t="str">
        <x:v>VEH-EEB7851EA567</x:v>
      </x:c>
      <x:c r="Q290" s="49" t="str">
        <x:v>ARPIEEB7851EA567B</x:v>
      </x:c>
      <x:c r="R290" s="249" t="n">
        <x:v>1</x:v>
      </x:c>
      <x:c r="S290" s="49" t="str">
        <x:v>Sanitized public reference data</x:v>
      </x:c>
    </x:row>
    <x:row r="291" ht="20" customHeight="1">
      <x:c r="A291" s="49" t="str">
        <x:v>GSA003-20260802-0290</x:v>
      </x:c>
      <x:c r="B291" s="49" t="str">
        <x:v>GSA-003</x:v>
      </x:c>
      <x:c r="C291" s="49" t="str">
        <x:v>Granite Used Auto Center of Merrimack</x:v>
      </x:c>
      <x:c r="D291" s="245" t="n">
        <x:v>46236</x:v>
      </x:c>
      <x:c r="E291" s="49" t="str">
        <x:v>GSA003-20260802-001</x:v>
      </x:c>
      <x:c r="F291" s="49" t="str">
        <x:v>sanitized_public_inventory_reference</x:v>
      </x:c>
      <x:c r="G291" s="49" t="str">
        <x:v>Used</x:v>
      </x:c>
      <x:c r="H291" s="249" t="n">
        <x:v>2019</x:v>
      </x:c>
      <x:c r="I291" s="49" t="str">
        <x:v>Ram</x:v>
      </x:c>
      <x:c r="J291" s="49" t="str">
        <x:v>1500 Classic</x:v>
      </x:c>
      <x:c r="K291" s="49" t="str">
        <x:v>Express</x:v>
      </x:c>
      <x:c r="L291" s="49" t="str">
        <x:v>2019 Ram 1500 Classic Express</x:v>
      </x:c>
      <x:c r="M291" s="253"/>
      <x:c r="N291" s="257"/>
      <x:c r="O291" s="49" t="str">
        <x:v>Price not exposed</x:v>
      </x:c>
      <x:c r="P291" s="49" t="str">
        <x:v>VEH-CBEF33A78AD3</x:v>
      </x:c>
      <x:c r="Q291" s="49" t="str">
        <x:v>ARPICBEF33A78AD3F</x:v>
      </x:c>
      <x:c r="R291" s="249" t="n">
        <x:v>1</x:v>
      </x:c>
      <x:c r="S291" s="49" t="str">
        <x:v>Sanitized public reference data</x:v>
      </x:c>
    </x:row>
    <x:row r="292" ht="20" customHeight="1">
      <x:c r="A292" s="49" t="str">
        <x:v>GSA003-20260802-0291</x:v>
      </x:c>
      <x:c r="B292" s="49" t="str">
        <x:v>GSA-003</x:v>
      </x:c>
      <x:c r="C292" s="49" t="str">
        <x:v>Granite Used Auto Center of Merrimack</x:v>
      </x:c>
      <x:c r="D292" s="245" t="n">
        <x:v>46236</x:v>
      </x:c>
      <x:c r="E292" s="49" t="str">
        <x:v>GSA003-20260802-001</x:v>
      </x:c>
      <x:c r="F292" s="49" t="str">
        <x:v>sanitized_public_inventory_reference</x:v>
      </x:c>
      <x:c r="G292" s="49" t="str">
        <x:v>Used</x:v>
      </x:c>
      <x:c r="H292" s="249" t="n">
        <x:v>2016</x:v>
      </x:c>
      <x:c r="I292" s="49" t="str">
        <x:v>Ram</x:v>
      </x:c>
      <x:c r="J292" s="49" t="str">
        <x:v>1500</x:v>
      </x:c>
      <x:c r="K292" s="49" t="str">
        <x:v>Big Horn</x:v>
      </x:c>
      <x:c r="L292" s="49" t="str">
        <x:v>2016 Ram 1500 Big Horn</x:v>
      </x:c>
      <x:c r="M292" s="253"/>
      <x:c r="N292" s="257"/>
      <x:c r="O292" s="49" t="str">
        <x:v>Price not exposed</x:v>
      </x:c>
      <x:c r="P292" s="49" t="str">
        <x:v>VEH-0B1C08CAB871</x:v>
      </x:c>
      <x:c r="Q292" s="49" t="str">
        <x:v>ARPI0B1C08CAB8711</x:v>
      </x:c>
      <x:c r="R292" s="249" t="n">
        <x:v>1</x:v>
      </x:c>
      <x:c r="S292" s="49" t="str">
        <x:v>Sanitized public reference data</x:v>
      </x:c>
    </x:row>
    <x:row r="293" ht="20" customHeight="1">
      <x:c r="A293" s="49" t="str">
        <x:v>GSA003-20260802-0292</x:v>
      </x:c>
      <x:c r="B293" s="49" t="str">
        <x:v>GSA-003</x:v>
      </x:c>
      <x:c r="C293" s="49" t="str">
        <x:v>Granite Used Auto Center of Merrimack</x:v>
      </x:c>
      <x:c r="D293" s="245" t="n">
        <x:v>46236</x:v>
      </x:c>
      <x:c r="E293" s="49" t="str">
        <x:v>GSA003-20260802-001</x:v>
      </x:c>
      <x:c r="F293" s="49" t="str">
        <x:v>sanitized_public_inventory_reference</x:v>
      </x:c>
      <x:c r="G293" s="49" t="str">
        <x:v>Used</x:v>
      </x:c>
      <x:c r="H293" s="249" t="n">
        <x:v>2022</x:v>
      </x:c>
      <x:c r="I293" s="49" t="str">
        <x:v>Ram</x:v>
      </x:c>
      <x:c r="J293" s="49" t="str">
        <x:v>1500</x:v>
      </x:c>
      <x:c r="K293" s="49" t="str">
        <x:v>Big Horn/Lone Star</x:v>
      </x:c>
      <x:c r="L293" s="49" t="str">
        <x:v>2022 Ram 1500 Big Horn/Lone Star</x:v>
      </x:c>
      <x:c r="M293" s="253"/>
      <x:c r="N293" s="257"/>
      <x:c r="O293" s="49" t="str">
        <x:v>Price not exposed</x:v>
      </x:c>
      <x:c r="P293" s="49" t="str">
        <x:v>VEH-54FE1B2FB736</x:v>
      </x:c>
      <x:c r="Q293" s="49" t="str">
        <x:v>ARPI54FE1B2FB7367</x:v>
      </x:c>
      <x:c r="R293" s="249" t="n">
        <x:v>1</x:v>
      </x:c>
      <x:c r="S293" s="49" t="str">
        <x:v>Sanitized public reference data</x:v>
      </x:c>
    </x:row>
    <x:row r="294" ht="20" customHeight="1">
      <x:c r="A294" s="49" t="str">
        <x:v>GSA003-20260802-0293</x:v>
      </x:c>
      <x:c r="B294" s="49" t="str">
        <x:v>GSA-003</x:v>
      </x:c>
      <x:c r="C294" s="49" t="str">
        <x:v>Granite Used Auto Center of Merrimack</x:v>
      </x:c>
      <x:c r="D294" s="245" t="n">
        <x:v>46236</x:v>
      </x:c>
      <x:c r="E294" s="49" t="str">
        <x:v>GSA003-20260802-001</x:v>
      </x:c>
      <x:c r="F294" s="49" t="str">
        <x:v>sanitized_public_inventory_reference</x:v>
      </x:c>
      <x:c r="G294" s="49" t="str">
        <x:v>Used</x:v>
      </x:c>
      <x:c r="H294" s="249" t="n">
        <x:v>2022</x:v>
      </x:c>
      <x:c r="I294" s="49" t="str">
        <x:v>Ford</x:v>
      </x:c>
      <x:c r="J294" s="49" t="str">
        <x:v>Mustang</x:v>
      </x:c>
      <x:c r="K294" s="49" t="str">
        <x:v>EcoBoost Premium</x:v>
      </x:c>
      <x:c r="L294" s="49" t="str">
        <x:v>2022 Ford Mustang EcoBoost Premium</x:v>
      </x:c>
      <x:c r="M294" s="253"/>
      <x:c r="N294" s="257"/>
      <x:c r="O294" s="49" t="str">
        <x:v>Price not exposed</x:v>
      </x:c>
      <x:c r="P294" s="49" t="str">
        <x:v>VEH-9109B6016269</x:v>
      </x:c>
      <x:c r="Q294" s="49" t="str">
        <x:v>ARPI9109B60162698</x:v>
      </x:c>
      <x:c r="R294" s="249" t="n">
        <x:v>1</x:v>
      </x:c>
      <x:c r="S294" s="49" t="str">
        <x:v>Sanitized public reference data</x:v>
      </x:c>
    </x:row>
    <x:row r="295" ht="20" customHeight="1">
      <x:c r="A295" s="49" t="str">
        <x:v>GSA003-20260802-0294</x:v>
      </x:c>
      <x:c r="B295" s="49" t="str">
        <x:v>GSA-003</x:v>
      </x:c>
      <x:c r="C295" s="49" t="str">
        <x:v>Granite Used Auto Center of Merrimack</x:v>
      </x:c>
      <x:c r="D295" s="245" t="n">
        <x:v>46236</x:v>
      </x:c>
      <x:c r="E295" s="49" t="str">
        <x:v>GSA003-20260802-001</x:v>
      </x:c>
      <x:c r="F295" s="49" t="str">
        <x:v>sanitized_public_inventory_reference</x:v>
      </x:c>
      <x:c r="G295" s="49" t="str">
        <x:v>Used</x:v>
      </x:c>
      <x:c r="H295" s="249" t="n">
        <x:v>2015</x:v>
      </x:c>
      <x:c r="I295" s="49" t="str">
        <x:v>Ford</x:v>
      </x:c>
      <x:c r="J295" s="49" t="str">
        <x:v>Escape</x:v>
      </x:c>
      <x:c r="K295" s="49" t="str">
        <x:v>SE</x:v>
      </x:c>
      <x:c r="L295" s="49" t="str">
        <x:v>2015 Ford Escape SE</x:v>
      </x:c>
      <x:c r="M295" s="253"/>
      <x:c r="N295" s="257"/>
      <x:c r="O295" s="49" t="str">
        <x:v>Price not exposed</x:v>
      </x:c>
      <x:c r="P295" s="49" t="str">
        <x:v>VEH-9185829BF11D</x:v>
      </x:c>
      <x:c r="Q295" s="49" t="str">
        <x:v>ARPI9185829BF11DD</x:v>
      </x:c>
      <x:c r="R295" s="249" t="n">
        <x:v>1</x:v>
      </x:c>
      <x:c r="S295" s="49" t="str">
        <x:v>Sanitized public reference data</x:v>
      </x:c>
    </x:row>
    <x:row r="296" ht="20" customHeight="1">
      <x:c r="A296" s="49" t="str">
        <x:v>GSA003-20260802-0295</x:v>
      </x:c>
      <x:c r="B296" s="49" t="str">
        <x:v>GSA-003</x:v>
      </x:c>
      <x:c r="C296" s="49" t="str">
        <x:v>Granite Used Auto Center of Merrimack</x:v>
      </x:c>
      <x:c r="D296" s="245" t="n">
        <x:v>46236</x:v>
      </x:c>
      <x:c r="E296" s="49" t="str">
        <x:v>GSA003-20260802-001</x:v>
      </x:c>
      <x:c r="F296" s="49" t="str">
        <x:v>sanitized_public_inventory_reference</x:v>
      </x:c>
      <x:c r="G296" s="49" t="str">
        <x:v>Used</x:v>
      </x:c>
      <x:c r="H296" s="249" t="n">
        <x:v>2017</x:v>
      </x:c>
      <x:c r="I296" s="49" t="str">
        <x:v>Ford</x:v>
      </x:c>
      <x:c r="J296" s="49" t="str">
        <x:v>F-150</x:v>
      </x:c>
      <x:c r="K296" s="49" t="str">
        <x:v>Platinum</x:v>
      </x:c>
      <x:c r="L296" s="49" t="str">
        <x:v>2017 Ford F-150 Platinum</x:v>
      </x:c>
      <x:c r="M296" s="253"/>
      <x:c r="N296" s="257"/>
      <x:c r="O296" s="49" t="str">
        <x:v>Price not exposed</x:v>
      </x:c>
      <x:c r="P296" s="49" t="str">
        <x:v>VEH-6F351E4316F7</x:v>
      </x:c>
      <x:c r="Q296" s="49" t="str">
        <x:v>ARPI6F351E4316F74</x:v>
      </x:c>
      <x:c r="R296" s="249" t="n">
        <x:v>1</x:v>
      </x:c>
      <x:c r="S296" s="49" t="str">
        <x:v>Sanitized public reference data</x:v>
      </x:c>
    </x:row>
    <x:row r="297" ht="20" customHeight="1">
      <x:c r="A297" s="49" t="str">
        <x:v>GSA003-20260802-0296</x:v>
      </x:c>
      <x:c r="B297" s="49" t="str">
        <x:v>GSA-003</x:v>
      </x:c>
      <x:c r="C297" s="49" t="str">
        <x:v>Granite Used Auto Center of Merrimack</x:v>
      </x:c>
      <x:c r="D297" s="245" t="n">
        <x:v>46236</x:v>
      </x:c>
      <x:c r="E297" s="49" t="str">
        <x:v>GSA003-20260802-001</x:v>
      </x:c>
      <x:c r="F297" s="49" t="str">
        <x:v>sanitized_public_inventory_reference</x:v>
      </x:c>
      <x:c r="G297" s="49" t="str">
        <x:v>Used</x:v>
      </x:c>
      <x:c r="H297" s="249" t="n">
        <x:v>2022</x:v>
      </x:c>
      <x:c r="I297" s="49" t="str">
        <x:v>Chevrolet</x:v>
      </x:c>
      <x:c r="J297" s="49" t="str">
        <x:v>Silverado 1500 LTD</x:v>
      </x:c>
      <x:c r="K297" s="49" t="str">
        <x:v>RST</x:v>
      </x:c>
      <x:c r="L297" s="49" t="str">
        <x:v>2022 Chevrolet Silverado 1500 LTD RST</x:v>
      </x:c>
      <x:c r="M297" s="253"/>
      <x:c r="N297" s="257"/>
      <x:c r="O297" s="49" t="str">
        <x:v>Price not exposed</x:v>
      </x:c>
      <x:c r="P297" s="49" t="str">
        <x:v>VEH-A5756EB98FE9</x:v>
      </x:c>
      <x:c r="Q297" s="49" t="str">
        <x:v>ARPIA5756EB98FE97</x:v>
      </x:c>
      <x:c r="R297" s="249" t="n">
        <x:v>1</x:v>
      </x:c>
      <x:c r="S297" s="49" t="str">
        <x:v>Sanitized public reference data</x:v>
      </x:c>
    </x:row>
    <x:row r="298" ht="20" customHeight="1">
      <x:c r="A298" s="49" t="str">
        <x:v>GSA003-20260802-0297</x:v>
      </x:c>
      <x:c r="B298" s="49" t="str">
        <x:v>GSA-003</x:v>
      </x:c>
      <x:c r="C298" s="49" t="str">
        <x:v>Granite Used Auto Center of Merrimack</x:v>
      </x:c>
      <x:c r="D298" s="245" t="n">
        <x:v>46236</x:v>
      </x:c>
      <x:c r="E298" s="49" t="str">
        <x:v>GSA003-20260802-001</x:v>
      </x:c>
      <x:c r="F298" s="49" t="str">
        <x:v>sanitized_public_inventory_reference</x:v>
      </x:c>
      <x:c r="G298" s="49" t="str">
        <x:v>Used</x:v>
      </x:c>
      <x:c r="H298" s="249" t="n">
        <x:v>2018</x:v>
      </x:c>
      <x:c r="I298" s="49" t="str">
        <x:v>Chevrolet</x:v>
      </x:c>
      <x:c r="J298" s="49" t="str">
        <x:v>Silverado 1500</x:v>
      </x:c>
      <x:c r="K298" s="49" t="str">
        <x:v>Custom</x:v>
      </x:c>
      <x:c r="L298" s="49" t="str">
        <x:v>2018 Chevrolet Silverado 1500 Custom</x:v>
      </x:c>
      <x:c r="M298" s="253"/>
      <x:c r="N298" s="257"/>
      <x:c r="O298" s="49" t="str">
        <x:v>Price not exposed</x:v>
      </x:c>
      <x:c r="P298" s="49" t="str">
        <x:v>VEH-11F149275DFC</x:v>
      </x:c>
      <x:c r="Q298" s="49" t="str">
        <x:v>ARPI11F149275DFCC</x:v>
      </x:c>
      <x:c r="R298" s="249" t="n">
        <x:v>1</x:v>
      </x:c>
      <x:c r="S298" s="49" t="str">
        <x:v>Sanitized public reference data</x:v>
      </x:c>
    </x:row>
    <x:row r="299" ht="20" customHeight="1">
      <x:c r="A299" s="49" t="str">
        <x:v>GSA003-20260802-0298</x:v>
      </x:c>
      <x:c r="B299" s="49" t="str">
        <x:v>GSA-003</x:v>
      </x:c>
      <x:c r="C299" s="49" t="str">
        <x:v>Granite Used Auto Center of Merrimack</x:v>
      </x:c>
      <x:c r="D299" s="245" t="n">
        <x:v>46236</x:v>
      </x:c>
      <x:c r="E299" s="49" t="str">
        <x:v>GSA003-20260802-001</x:v>
      </x:c>
      <x:c r="F299" s="49" t="str">
        <x:v>sanitized_public_inventory_reference</x:v>
      </x:c>
      <x:c r="G299" s="49" t="str">
        <x:v>Used</x:v>
      </x:c>
      <x:c r="H299" s="249" t="n">
        <x:v>2019</x:v>
      </x:c>
      <x:c r="I299" s="49" t="str">
        <x:v>GMC</x:v>
      </x:c>
      <x:c r="J299" s="49" t="str">
        <x:v>Acadia</x:v>
      </x:c>
      <x:c r="K299" s="49" t="str">
        <x:v>SLT-1</x:v>
      </x:c>
      <x:c r="L299" s="49" t="str">
        <x:v>2019 GMC Acadia SLT-1</x:v>
      </x:c>
      <x:c r="M299" s="253"/>
      <x:c r="N299" s="257"/>
      <x:c r="O299" s="49" t="str">
        <x:v>Price not exposed</x:v>
      </x:c>
      <x:c r="P299" s="49" t="str">
        <x:v>VEH-592DEE0B6416</x:v>
      </x:c>
      <x:c r="Q299" s="49" t="str">
        <x:v>ARPI592DEE0B64168</x:v>
      </x:c>
      <x:c r="R299" s="249" t="n">
        <x:v>1</x:v>
      </x:c>
      <x:c r="S299" s="49" t="str">
        <x:v>Sanitized public reference data</x:v>
      </x:c>
    </x:row>
    <x:row r="300" ht="20" customHeight="1">
      <x:c r="A300" s="49" t="str">
        <x:v>GSA003-20260802-0299</x:v>
      </x:c>
      <x:c r="B300" s="49" t="str">
        <x:v>GSA-003</x:v>
      </x:c>
      <x:c r="C300" s="49" t="str">
        <x:v>Granite Used Auto Center of Merrimack</x:v>
      </x:c>
      <x:c r="D300" s="245" t="n">
        <x:v>46236</x:v>
      </x:c>
      <x:c r="E300" s="49" t="str">
        <x:v>GSA003-20260802-001</x:v>
      </x:c>
      <x:c r="F300" s="49" t="str">
        <x:v>sanitized_public_inventory_reference</x:v>
      </x:c>
      <x:c r="G300" s="49" t="str">
        <x:v>Used</x:v>
      </x:c>
      <x:c r="H300" s="249" t="n">
        <x:v>2020</x:v>
      </x:c>
      <x:c r="I300" s="49" t="str">
        <x:v>Nissan</x:v>
      </x:c>
      <x:c r="J300" s="49" t="str">
        <x:v>Frontier</x:v>
      </x:c>
      <x:c r="K300" s="49" t="str">
        <x:v>SV</x:v>
      </x:c>
      <x:c r="L300" s="49" t="str">
        <x:v>2020 Nissan Frontier SV</x:v>
      </x:c>
      <x:c r="M300" s="253"/>
      <x:c r="N300" s="257"/>
      <x:c r="O300" s="49" t="str">
        <x:v>Price not exposed</x:v>
      </x:c>
      <x:c r="P300" s="49" t="str">
        <x:v>VEH-3BEC31DC5A22</x:v>
      </x:c>
      <x:c r="Q300" s="49" t="str">
        <x:v>ARPI3BEC31DC5A227</x:v>
      </x:c>
      <x:c r="R300" s="249" t="n">
        <x:v>1</x:v>
      </x:c>
      <x:c r="S300" s="49" t="str">
        <x:v>Sanitized public reference data</x:v>
      </x:c>
    </x:row>
    <x:row r="301" ht="20" customHeight="1">
      <x:c r="A301" s="49" t="str">
        <x:v>GSA003-20260802-0300</x:v>
      </x:c>
      <x:c r="B301" s="49" t="str">
        <x:v>GSA-003</x:v>
      </x:c>
      <x:c r="C301" s="49" t="str">
        <x:v>Granite Used Auto Center of Merrimack</x:v>
      </x:c>
      <x:c r="D301" s="245" t="n">
        <x:v>46236</x:v>
      </x:c>
      <x:c r="E301" s="49" t="str">
        <x:v>GSA003-20260802-001</x:v>
      </x:c>
      <x:c r="F301" s="49" t="str">
        <x:v>sanitized_public_inventory_reference</x:v>
      </x:c>
      <x:c r="G301" s="49" t="str">
        <x:v>Used</x:v>
      </x:c>
      <x:c r="H301" s="249" t="n">
        <x:v>2018</x:v>
      </x:c>
      <x:c r="I301" s="49" t="str">
        <x:v>Volkswagen</x:v>
      </x:c>
      <x:c r="J301" s="49" t="str">
        <x:v>Atlas</x:v>
      </x:c>
      <x:c r="K301" s="49" t="str">
        <x:v>Launch Edition</x:v>
      </x:c>
      <x:c r="L301" s="49" t="str">
        <x:v>2018 Volkswagen Atlas Launch Edition</x:v>
      </x:c>
      <x:c r="M301" s="253"/>
      <x:c r="N301" s="257"/>
      <x:c r="O301" s="49" t="str">
        <x:v>Price not exposed</x:v>
      </x:c>
      <x:c r="P301" s="49" t="str">
        <x:v>VEH-FDE868EBF95E</x:v>
      </x:c>
      <x:c r="Q301" s="49" t="str">
        <x:v>ARPIFDE868EBF95EE</x:v>
      </x:c>
      <x:c r="R301" s="249" t="n">
        <x:v>1</x:v>
      </x:c>
      <x:c r="S301" s="49" t="str">
        <x:v>Sanitized public reference data</x:v>
      </x:c>
    </x:row>
    <x:row r="302" ht="20" customHeight="1">
      <x:c r="A302" s="49" t="str">
        <x:v>GSA003-20260802-0301</x:v>
      </x:c>
      <x:c r="B302" s="49" t="str">
        <x:v>GSA-003</x:v>
      </x:c>
      <x:c r="C302" s="49" t="str">
        <x:v>Granite Used Auto Center of Merrimack</x:v>
      </x:c>
      <x:c r="D302" s="245" t="n">
        <x:v>46236</x:v>
      </x:c>
      <x:c r="E302" s="49" t="str">
        <x:v>GSA003-20260802-001</x:v>
      </x:c>
      <x:c r="F302" s="49" t="str">
        <x:v>sanitized_public_inventory_reference</x:v>
      </x:c>
      <x:c r="G302" s="49" t="str">
        <x:v>Used</x:v>
      </x:c>
      <x:c r="H302" s="249" t="n">
        <x:v>2018</x:v>
      </x:c>
      <x:c r="I302" s="49" t="str">
        <x:v>Toyota</x:v>
      </x:c>
      <x:c r="J302" s="49" t="str">
        <x:v>RAV4</x:v>
      </x:c>
      <x:c r="K302" s="49" t="str">
        <x:v>LE</x:v>
      </x:c>
      <x:c r="L302" s="49" t="str">
        <x:v>2018 Toyota RAV4 LE</x:v>
      </x:c>
      <x:c r="M302" s="253"/>
      <x:c r="N302" s="257"/>
      <x:c r="O302" s="49" t="str">
        <x:v>Price not exposed</x:v>
      </x:c>
      <x:c r="P302" s="49" t="str">
        <x:v>VEH-1F127C3E3C3E</x:v>
      </x:c>
      <x:c r="Q302" s="49" t="str">
        <x:v>ARPI1F127C3E3C3E0</x:v>
      </x:c>
      <x:c r="R302" s="249" t="n">
        <x:v>1</x:v>
      </x:c>
      <x:c r="S302" s="49" t="str">
        <x:v>Sanitized public reference data</x:v>
      </x:c>
    </x:row>
    <x:row r="303" ht="20" customHeight="1">
      <x:c r="A303" s="49" t="str">
        <x:v>GSA003-20260802-0302</x:v>
      </x:c>
      <x:c r="B303" s="49" t="str">
        <x:v>GSA-003</x:v>
      </x:c>
      <x:c r="C303" s="49" t="str">
        <x:v>Granite Used Auto Center of Merrimack</x:v>
      </x:c>
      <x:c r="D303" s="245" t="n">
        <x:v>46236</x:v>
      </x:c>
      <x:c r="E303" s="49" t="str">
        <x:v>GSA003-20260802-001</x:v>
      </x:c>
      <x:c r="F303" s="49" t="str">
        <x:v>sanitized_public_inventory_reference</x:v>
      </x:c>
      <x:c r="G303" s="49" t="str">
        <x:v>Used</x:v>
      </x:c>
      <x:c r="H303" s="249" t="n">
        <x:v>2022</x:v>
      </x:c>
      <x:c r="I303" s="49" t="str">
        <x:v>Jeep</x:v>
      </x:c>
      <x:c r="J303" s="49" t="str">
        <x:v>Compass</x:v>
      </x:c>
      <x:c r="K303" s="49" t="str">
        <x:v>Latitude</x:v>
      </x:c>
      <x:c r="L303" s="49" t="str">
        <x:v>2022 Jeep Compass Latitude</x:v>
      </x:c>
      <x:c r="M303" s="253"/>
      <x:c r="N303" s="257"/>
      <x:c r="O303" s="49" t="str">
        <x:v>Price not exposed</x:v>
      </x:c>
      <x:c r="P303" s="49" t="str">
        <x:v>VEH-D5761116128A</x:v>
      </x:c>
      <x:c r="Q303" s="49" t="str">
        <x:v>ARPID5761116128A7</x:v>
      </x:c>
      <x:c r="R303" s="249" t="n">
        <x:v>1</x:v>
      </x:c>
      <x:c r="S303" s="49" t="str">
        <x:v>Sanitized public reference data</x:v>
      </x:c>
    </x:row>
    <x:row r="304" ht="20" customHeight="1">
      <x:c r="A304" s="49" t="str">
        <x:v>GSA003-20260802-0303</x:v>
      </x:c>
      <x:c r="B304" s="49" t="str">
        <x:v>GSA-003</x:v>
      </x:c>
      <x:c r="C304" s="49" t="str">
        <x:v>Granite Used Auto Center of Merrimack</x:v>
      </x:c>
      <x:c r="D304" s="245" t="n">
        <x:v>46236</x:v>
      </x:c>
      <x:c r="E304" s="49" t="str">
        <x:v>GSA003-20260802-001</x:v>
      </x:c>
      <x:c r="F304" s="49" t="str">
        <x:v>sanitized_public_inventory_reference</x:v>
      </x:c>
      <x:c r="G304" s="49" t="str">
        <x:v>Used</x:v>
      </x:c>
      <x:c r="H304" s="249" t="n">
        <x:v>2021</x:v>
      </x:c>
      <x:c r="I304" s="49" t="str">
        <x:v>Honda</x:v>
      </x:c>
      <x:c r="J304" s="49" t="str">
        <x:v>HR-V</x:v>
      </x:c>
      <x:c r="K304" s="49" t="str">
        <x:v>Sport</x:v>
      </x:c>
      <x:c r="L304" s="49" t="str">
        <x:v>2021 Honda HR-V Sport</x:v>
      </x:c>
      <x:c r="M304" s="253"/>
      <x:c r="N304" s="257"/>
      <x:c r="O304" s="49" t="str">
        <x:v>Price not exposed</x:v>
      </x:c>
      <x:c r="P304" s="49" t="str">
        <x:v>VEH-AD1F9FB7235A</x:v>
      </x:c>
      <x:c r="Q304" s="49" t="str">
        <x:v>ARPIAD1F9FB7235A7</x:v>
      </x:c>
      <x:c r="R304" s="249" t="n">
        <x:v>1</x:v>
      </x:c>
      <x:c r="S304" s="49" t="str">
        <x:v>Sanitized public reference data</x:v>
      </x:c>
    </x:row>
    <x:row r="305" ht="20" customHeight="1">
      <x:c r="A305" s="49" t="str">
        <x:v>GSA003-20260802-0304</x:v>
      </x:c>
      <x:c r="B305" s="49" t="str">
        <x:v>GSA-003</x:v>
      </x:c>
      <x:c r="C305" s="49" t="str">
        <x:v>Granite Used Auto Center of Merrimack</x:v>
      </x:c>
      <x:c r="D305" s="245" t="n">
        <x:v>46236</x:v>
      </x:c>
      <x:c r="E305" s="49" t="str">
        <x:v>GSA003-20260802-001</x:v>
      </x:c>
      <x:c r="F305" s="49" t="str">
        <x:v>sanitized_public_inventory_reference</x:v>
      </x:c>
      <x:c r="G305" s="49" t="str">
        <x:v>Used</x:v>
      </x:c>
      <x:c r="H305" s="249" t="n">
        <x:v>2018</x:v>
      </x:c>
      <x:c r="I305" s="49" t="str">
        <x:v>Chevrolet</x:v>
      </x:c>
      <x:c r="J305" s="49" t="str">
        <x:v>Silverado 1500</x:v>
      </x:c>
      <x:c r="K305" s="49" t="str">
        <x:v>LT</x:v>
      </x:c>
      <x:c r="L305" s="49" t="str">
        <x:v>2018 Chevrolet Silverado 1500 LT</x:v>
      </x:c>
      <x:c r="M305" s="253"/>
      <x:c r="N305" s="257"/>
      <x:c r="O305" s="49" t="str">
        <x:v>Price not exposed</x:v>
      </x:c>
      <x:c r="P305" s="49" t="str">
        <x:v>VEH-E5A9713D98C6</x:v>
      </x:c>
      <x:c r="Q305" s="49" t="str">
        <x:v>ARPIE5A9713D98C6F</x:v>
      </x:c>
      <x:c r="R305" s="249" t="n">
        <x:v>1</x:v>
      </x:c>
      <x:c r="S305" s="49" t="str">
        <x:v>Sanitized public reference data</x:v>
      </x:c>
    </x:row>
    <x:row r="306" ht="20" customHeight="1">
      <x:c r="A306" s="49" t="str">
        <x:v>GSA003-20260802-0305</x:v>
      </x:c>
      <x:c r="B306" s="49" t="str">
        <x:v>GSA-003</x:v>
      </x:c>
      <x:c r="C306" s="49" t="str">
        <x:v>Granite Used Auto Center of Merrimack</x:v>
      </x:c>
      <x:c r="D306" s="245" t="n">
        <x:v>46236</x:v>
      </x:c>
      <x:c r="E306" s="49" t="str">
        <x:v>GSA003-20260802-001</x:v>
      </x:c>
      <x:c r="F306" s="49" t="str">
        <x:v>sanitized_public_inventory_reference</x:v>
      </x:c>
      <x:c r="G306" s="49" t="str">
        <x:v>Used</x:v>
      </x:c>
      <x:c r="H306" s="249" t="n">
        <x:v>2015</x:v>
      </x:c>
      <x:c r="I306" s="49" t="str">
        <x:v>Nissan</x:v>
      </x:c>
      <x:c r="J306" s="49" t="str">
        <x:v>Sentra</x:v>
      </x:c>
      <x:c r="K306" s="49" t="str">
        <x:v>S</x:v>
      </x:c>
      <x:c r="L306" s="49" t="str">
        <x:v>2015 Nissan Sentra S</x:v>
      </x:c>
      <x:c r="M306" s="253"/>
      <x:c r="N306" s="257"/>
      <x:c r="O306" s="49" t="str">
        <x:v>Price not exposed</x:v>
      </x:c>
      <x:c r="P306" s="49" t="str">
        <x:v>VEH-EA7C6404FD6B</x:v>
      </x:c>
      <x:c r="Q306" s="49" t="str">
        <x:v>ARPIEA7C6404FD6B9</x:v>
      </x:c>
      <x:c r="R306" s="249" t="n">
        <x:v>1</x:v>
      </x:c>
      <x:c r="S306" s="49" t="str">
        <x:v>Sanitized public reference data</x:v>
      </x:c>
    </x:row>
    <x:row r="307" ht="20" customHeight="1">
      <x:c r="A307" s="49" t="str">
        <x:v>GSA003-20260802-0306</x:v>
      </x:c>
      <x:c r="B307" s="49" t="str">
        <x:v>GSA-003</x:v>
      </x:c>
      <x:c r="C307" s="49" t="str">
        <x:v>Granite Used Auto Center of Merrimack</x:v>
      </x:c>
      <x:c r="D307" s="245" t="n">
        <x:v>46236</x:v>
      </x:c>
      <x:c r="E307" s="49" t="str">
        <x:v>GSA003-20260802-001</x:v>
      </x:c>
      <x:c r="F307" s="49" t="str">
        <x:v>sanitized_public_inventory_reference</x:v>
      </x:c>
      <x:c r="G307" s="49" t="str">
        <x:v>Used</x:v>
      </x:c>
      <x:c r="H307" s="249" t="n">
        <x:v>2017</x:v>
      </x:c>
      <x:c r="I307" s="49" t="str">
        <x:v>Nissan</x:v>
      </x:c>
      <x:c r="J307" s="49" t="str">
        <x:v>Versa</x:v>
      </x:c>
      <x:c r="K307" s="49" t="str">
        <x:v>1.6 S</x:v>
      </x:c>
      <x:c r="L307" s="49" t="str">
        <x:v>2017 Nissan Versa 1.6 S</x:v>
      </x:c>
      <x:c r="M307" s="253" t="n">
        <x:v>87470</x:v>
      </x:c>
      <x:c r="N307" s="257" t="n">
        <x:v>7895</x:v>
      </x:c>
      <x:c r="O307" s="49" t="str">
        <x:v>Listed</x:v>
      </x:c>
      <x:c r="P307" s="49" t="str">
        <x:v>VEH-35D9E4B95840</x:v>
      </x:c>
      <x:c r="Q307" s="49" t="str">
        <x:v>ARPI35D9E4B958409</x:v>
      </x:c>
      <x:c r="R307" s="249" t="n">
        <x:v>1</x:v>
      </x:c>
      <x:c r="S307" s="49" t="str">
        <x:v>Sanitized public reference data</x:v>
      </x:c>
    </x:row>
    <x:row r="308" ht="20" customHeight="1">
      <x:c r="A308" s="49" t="str">
        <x:v>GSA003-20260802-0307</x:v>
      </x:c>
      <x:c r="B308" s="49" t="str">
        <x:v>GSA-003</x:v>
      </x:c>
      <x:c r="C308" s="49" t="str">
        <x:v>Granite Used Auto Center of Merrimack</x:v>
      </x:c>
      <x:c r="D308" s="245" t="n">
        <x:v>46236</x:v>
      </x:c>
      <x:c r="E308" s="49" t="str">
        <x:v>GSA003-20260802-001</x:v>
      </x:c>
      <x:c r="F308" s="49" t="str">
        <x:v>sanitized_public_inventory_reference</x:v>
      </x:c>
      <x:c r="G308" s="49" t="str">
        <x:v>Used</x:v>
      </x:c>
      <x:c r="H308" s="249" t="n">
        <x:v>2019</x:v>
      </x:c>
      <x:c r="I308" s="49" t="str">
        <x:v>Subaru</x:v>
      </x:c>
      <x:c r="J308" s="49" t="str">
        <x:v>Ascent</x:v>
      </x:c>
      <x:c r="K308" s="49" t="str">
        <x:v>Premium</x:v>
      </x:c>
      <x:c r="L308" s="49" t="str">
        <x:v>2019 Subaru Ascent Premium</x:v>
      </x:c>
      <x:c r="M308" s="253"/>
      <x:c r="N308" s="257"/>
      <x:c r="O308" s="49" t="str">
        <x:v>Price not exposed</x:v>
      </x:c>
      <x:c r="P308" s="49" t="str">
        <x:v>VEH-BD37C9FC9AD2</x:v>
      </x:c>
      <x:c r="Q308" s="49" t="str">
        <x:v>ARPIBD37C9FC9AD2B</x:v>
      </x:c>
      <x:c r="R308" s="249" t="n">
        <x:v>1</x:v>
      </x:c>
      <x:c r="S308" s="49" t="str">
        <x:v>Sanitized public reference data</x:v>
      </x:c>
    </x:row>
    <x:row r="309" ht="20" customHeight="1">
      <x:c r="A309" s="49" t="str">
        <x:v>GSA003-20260802-0308</x:v>
      </x:c>
      <x:c r="B309" s="49" t="str">
        <x:v>GSA-003</x:v>
      </x:c>
      <x:c r="C309" s="49" t="str">
        <x:v>Granite Used Auto Center of Merrimack</x:v>
      </x:c>
      <x:c r="D309" s="245" t="n">
        <x:v>46236</x:v>
      </x:c>
      <x:c r="E309" s="49" t="str">
        <x:v>GSA003-20260802-001</x:v>
      </x:c>
      <x:c r="F309" s="49" t="str">
        <x:v>sanitized_public_inventory_reference</x:v>
      </x:c>
      <x:c r="G309" s="49" t="str">
        <x:v>Used</x:v>
      </x:c>
      <x:c r="H309" s="249" t="n">
        <x:v>2011</x:v>
      </x:c>
      <x:c r="I309" s="49" t="str">
        <x:v>Toyota</x:v>
      </x:c>
      <x:c r="J309" s="49" t="str">
        <x:v>Sienna</x:v>
      </x:c>
      <x:c r="K309" s="49" t="str">
        <x:v>LE</x:v>
      </x:c>
      <x:c r="L309" s="49" t="str">
        <x:v>2011 Toyota Sienna LE</x:v>
      </x:c>
      <x:c r="M309" s="253"/>
      <x:c r="N309" s="257"/>
      <x:c r="O309" s="49" t="str">
        <x:v>Price not exposed</x:v>
      </x:c>
      <x:c r="P309" s="49" t="str">
        <x:v>VEH-292E75DD0B10</x:v>
      </x:c>
      <x:c r="Q309" s="49" t="str">
        <x:v>ARPI292E75DD0B104</x:v>
      </x:c>
      <x:c r="R309" s="249" t="n">
        <x:v>1</x:v>
      </x:c>
      <x:c r="S309" s="49" t="str">
        <x:v>Sanitized public reference data</x:v>
      </x:c>
    </x:row>
    <x:row r="310" ht="20" customHeight="1">
      <x:c r="A310" s="49" t="str">
        <x:v>GSA003-20260802-0309</x:v>
      </x:c>
      <x:c r="B310" s="49" t="str">
        <x:v>GSA-003</x:v>
      </x:c>
      <x:c r="C310" s="49" t="str">
        <x:v>Granite Used Auto Center of Merrimack</x:v>
      </x:c>
      <x:c r="D310" s="245" t="n">
        <x:v>46236</x:v>
      </x:c>
      <x:c r="E310" s="49" t="str">
        <x:v>GSA003-20260802-001</x:v>
      </x:c>
      <x:c r="F310" s="49" t="str">
        <x:v>sanitized_public_inventory_reference</x:v>
      </x:c>
      <x:c r="G310" s="49" t="str">
        <x:v>Used</x:v>
      </x:c>
      <x:c r="H310" s="249" t="n">
        <x:v>2019</x:v>
      </x:c>
      <x:c r="I310" s="49" t="str">
        <x:v>BMW</x:v>
      </x:c>
      <x:c r="J310" s="49" t="str">
        <x:v>X3</x:v>
      </x:c>
      <x:c r="K310" s="49" t="str">
        <x:v>xDrive30i</x:v>
      </x:c>
      <x:c r="L310" s="49" t="str">
        <x:v>2019 BMW X3 xDrive30i</x:v>
      </x:c>
      <x:c r="M310" s="253" t="n">
        <x:v>86739</x:v>
      </x:c>
      <x:c r="N310" s="257" t="n">
        <x:v>17395</x:v>
      </x:c>
      <x:c r="O310" s="49" t="str">
        <x:v>Listed</x:v>
      </x:c>
      <x:c r="P310" s="49" t="str">
        <x:v>VEH-B57B6FD54B2A</x:v>
      </x:c>
      <x:c r="Q310" s="49" t="str">
        <x:v>ARPIB57B6FD54B2A5</x:v>
      </x:c>
      <x:c r="R310" s="249" t="n">
        <x:v>1</x:v>
      </x:c>
      <x:c r="S310" s="49" t="str">
        <x:v>Sanitized public reference data</x:v>
      </x:c>
    </x:row>
    <x:row r="311" ht="20" customHeight="1">
      <x:c r="A311" s="49" t="str">
        <x:v>GSA003-20260802-0310</x:v>
      </x:c>
      <x:c r="B311" s="49" t="str">
        <x:v>GSA-003</x:v>
      </x:c>
      <x:c r="C311" s="49" t="str">
        <x:v>Granite Used Auto Center of Merrimack</x:v>
      </x:c>
      <x:c r="D311" s="245" t="n">
        <x:v>46236</x:v>
      </x:c>
      <x:c r="E311" s="49" t="str">
        <x:v>GSA003-20260802-001</x:v>
      </x:c>
      <x:c r="F311" s="49" t="str">
        <x:v>sanitized_public_inventory_reference</x:v>
      </x:c>
      <x:c r="G311" s="49" t="str">
        <x:v>Used</x:v>
      </x:c>
      <x:c r="H311" s="249" t="n">
        <x:v>2025</x:v>
      </x:c>
      <x:c r="I311" s="49" t="str">
        <x:v>Kia</x:v>
      </x:c>
      <x:c r="J311" s="49" t="str">
        <x:v>Telluride</x:v>
      </x:c>
      <x:c r="K311" s="49" t="str">
        <x:v>S</x:v>
      </x:c>
      <x:c r="L311" s="49" t="str">
        <x:v>2025 Kia Telluride S</x:v>
      </x:c>
      <x:c r="M311" s="253"/>
      <x:c r="N311" s="257"/>
      <x:c r="O311" s="49" t="str">
        <x:v>Price not exposed</x:v>
      </x:c>
      <x:c r="P311" s="49" t="str">
        <x:v>VEH-ABADEAB84BCD</x:v>
      </x:c>
      <x:c r="Q311" s="49" t="str">
        <x:v>ARPIABADEAB84BCDB</x:v>
      </x:c>
      <x:c r="R311" s="249" t="n">
        <x:v>1</x:v>
      </x:c>
      <x:c r="S311" s="49" t="str">
        <x:v>Sanitized public reference data</x:v>
      </x:c>
    </x:row>
    <x:row r="312" ht="20" customHeight="1">
      <x:c r="A312" s="49" t="str">
        <x:v>GSA003-20260802-0311</x:v>
      </x:c>
      <x:c r="B312" s="49" t="str">
        <x:v>GSA-003</x:v>
      </x:c>
      <x:c r="C312" s="49" t="str">
        <x:v>Granite Used Auto Center of Merrimack</x:v>
      </x:c>
      <x:c r="D312" s="245" t="n">
        <x:v>46236</x:v>
      </x:c>
      <x:c r="E312" s="49" t="str">
        <x:v>GSA003-20260802-001</x:v>
      </x:c>
      <x:c r="F312" s="49" t="str">
        <x:v>sanitized_public_inventory_reference</x:v>
      </x:c>
      <x:c r="G312" s="49" t="str">
        <x:v>Used</x:v>
      </x:c>
      <x:c r="H312" s="249" t="n">
        <x:v>2021</x:v>
      </x:c>
      <x:c r="I312" s="49" t="str">
        <x:v>Honda</x:v>
      </x:c>
      <x:c r="J312" s="49" t="str">
        <x:v>CR-V</x:v>
      </x:c>
      <x:c r="K312" s="49" t="str">
        <x:v>EX-L</x:v>
      </x:c>
      <x:c r="L312" s="49" t="str">
        <x:v>2021 Honda CR-V EX-L</x:v>
      </x:c>
      <x:c r="M312" s="253"/>
      <x:c r="N312" s="257"/>
      <x:c r="O312" s="49" t="str">
        <x:v>Price not exposed</x:v>
      </x:c>
      <x:c r="P312" s="49" t="str">
        <x:v>VEH-593C046B51CD</x:v>
      </x:c>
      <x:c r="Q312" s="49" t="str">
        <x:v>ARPI593C046B51CD0</x:v>
      </x:c>
      <x:c r="R312" s="249" t="n">
        <x:v>1</x:v>
      </x:c>
      <x:c r="S312" s="49" t="str">
        <x:v>Sanitized public reference data</x:v>
      </x:c>
    </x:row>
    <x:row r="313" ht="20" customHeight="1">
      <x:c r="A313" s="49" t="str">
        <x:v>GSA003-20260802-0312</x:v>
      </x:c>
      <x:c r="B313" s="49" t="str">
        <x:v>GSA-003</x:v>
      </x:c>
      <x:c r="C313" s="49" t="str">
        <x:v>Granite Used Auto Center of Merrimack</x:v>
      </x:c>
      <x:c r="D313" s="245" t="n">
        <x:v>46236</x:v>
      </x:c>
      <x:c r="E313" s="49" t="str">
        <x:v>GSA003-20260802-001</x:v>
      </x:c>
      <x:c r="F313" s="49" t="str">
        <x:v>sanitized_public_inventory_reference</x:v>
      </x:c>
      <x:c r="G313" s="49" t="str">
        <x:v>Used</x:v>
      </x:c>
      <x:c r="H313" s="249" t="n">
        <x:v>2018</x:v>
      </x:c>
      <x:c r="I313" s="49" t="str">
        <x:v>Mazda</x:v>
      </x:c>
      <x:c r="J313" s="49" t="str">
        <x:v>CX-5</x:v>
      </x:c>
      <x:c r="K313" s="49" t="str">
        <x:v>Grand Touring</x:v>
      </x:c>
      <x:c r="L313" s="49" t="str">
        <x:v>2018 Mazda CX-5 Grand Touring</x:v>
      </x:c>
      <x:c r="M313" s="253"/>
      <x:c r="N313" s="257"/>
      <x:c r="O313" s="49" t="str">
        <x:v>Price not exposed</x:v>
      </x:c>
      <x:c r="P313" s="49" t="str">
        <x:v>VEH-F385223DB73B</x:v>
      </x:c>
      <x:c r="Q313" s="49" t="str">
        <x:v>ARPIF385223DB73B8</x:v>
      </x:c>
      <x:c r="R313" s="249" t="n">
        <x:v>1</x:v>
      </x:c>
      <x:c r="S313" s="49" t="str">
        <x:v>Sanitized public reference data</x:v>
      </x:c>
    </x:row>
    <x:row r="314" ht="20" customHeight="1">
      <x:c r="A314" s="49" t="str">
        <x:v>GSA003-20260802-0313</x:v>
      </x:c>
      <x:c r="B314" s="49" t="str">
        <x:v>GSA-003</x:v>
      </x:c>
      <x:c r="C314" s="49" t="str">
        <x:v>Granite Used Auto Center of Merrimack</x:v>
      </x:c>
      <x:c r="D314" s="245" t="n">
        <x:v>46236</x:v>
      </x:c>
      <x:c r="E314" s="49" t="str">
        <x:v>GSA003-20260802-001</x:v>
      </x:c>
      <x:c r="F314" s="49" t="str">
        <x:v>sanitized_public_inventory_reference</x:v>
      </x:c>
      <x:c r="G314" s="49" t="str">
        <x:v>Used</x:v>
      </x:c>
      <x:c r="H314" s="249" t="n">
        <x:v>2013</x:v>
      </x:c>
      <x:c r="I314" s="49" t="str">
        <x:v>INFINITI</x:v>
      </x:c>
      <x:c r="J314" s="49" t="str">
        <x:v>G37</x:v>
      </x:c>
      <x:c r="K314" s="49" t="str">
        <x:v>X</x:v>
      </x:c>
      <x:c r="L314" s="49" t="str">
        <x:v>2013 INFINITI G37 X</x:v>
      </x:c>
      <x:c r="M314" s="253"/>
      <x:c r="N314" s="257"/>
      <x:c r="O314" s="49" t="str">
        <x:v>Price not exposed</x:v>
      </x:c>
      <x:c r="P314" s="49" t="str">
        <x:v>VEH-7456C9A8C4CD</x:v>
      </x:c>
      <x:c r="Q314" s="49" t="str">
        <x:v>ARPI7456C9A8C4CD9</x:v>
      </x:c>
      <x:c r="R314" s="249" t="n">
        <x:v>1</x:v>
      </x:c>
      <x:c r="S314" s="49" t="str">
        <x:v>Sanitized public reference data</x:v>
      </x:c>
    </x:row>
    <x:row r="315" ht="20" customHeight="1">
      <x:c r="A315" s="49" t="str">
        <x:v>GSA003-20260802-0314</x:v>
      </x:c>
      <x:c r="B315" s="49" t="str">
        <x:v>GSA-003</x:v>
      </x:c>
      <x:c r="C315" s="49" t="str">
        <x:v>Granite Used Auto Center of Merrimack</x:v>
      </x:c>
      <x:c r="D315" s="245" t="n">
        <x:v>46236</x:v>
      </x:c>
      <x:c r="E315" s="49" t="str">
        <x:v>GSA003-20260802-001</x:v>
      </x:c>
      <x:c r="F315" s="49" t="str">
        <x:v>sanitized_public_inventory_reference</x:v>
      </x:c>
      <x:c r="G315" s="49" t="str">
        <x:v>Used</x:v>
      </x:c>
      <x:c r="H315" s="249" t="n">
        <x:v>2019</x:v>
      </x:c>
      <x:c r="I315" s="49" t="str">
        <x:v>Ford</x:v>
      </x:c>
      <x:c r="J315" s="49" t="str">
        <x:v>EcoSport</x:v>
      </x:c>
      <x:c r="K315" s="49" t="str">
        <x:v>SE</x:v>
      </x:c>
      <x:c r="L315" s="49" t="str">
        <x:v>2019 Ford EcoSport SE</x:v>
      </x:c>
      <x:c r="M315" s="253"/>
      <x:c r="N315" s="257"/>
      <x:c r="O315" s="49" t="str">
        <x:v>Price not exposed</x:v>
      </x:c>
      <x:c r="P315" s="49" t="str">
        <x:v>VEH-4D8E34F96BB9</x:v>
      </x:c>
      <x:c r="Q315" s="49" t="str">
        <x:v>ARPI4D8E34F96BB91</x:v>
      </x:c>
      <x:c r="R315" s="249" t="n">
        <x:v>1</x:v>
      </x:c>
      <x:c r="S315" s="49" t="str">
        <x:v>Sanitized public reference data</x:v>
      </x:c>
    </x:row>
    <x:row r="316" ht="20" customHeight="1">
      <x:c r="A316" s="49" t="str">
        <x:v>GSA003-20260802-0315</x:v>
      </x:c>
      <x:c r="B316" s="49" t="str">
        <x:v>GSA-003</x:v>
      </x:c>
      <x:c r="C316" s="49" t="str">
        <x:v>Granite Used Auto Center of Merrimack</x:v>
      </x:c>
      <x:c r="D316" s="245" t="n">
        <x:v>46236</x:v>
      </x:c>
      <x:c r="E316" s="49" t="str">
        <x:v>GSA003-20260802-001</x:v>
      </x:c>
      <x:c r="F316" s="49" t="str">
        <x:v>sanitized_public_inventory_reference</x:v>
      </x:c>
      <x:c r="G316" s="49" t="str">
        <x:v>Used</x:v>
      </x:c>
      <x:c r="H316" s="249" t="n">
        <x:v>2018</x:v>
      </x:c>
      <x:c r="I316" s="49" t="str">
        <x:v>Jaguar</x:v>
      </x:c>
      <x:c r="J316" s="49" t="str">
        <x:v>F-PACE</x:v>
      </x:c>
      <x:c r="K316" s="49" t="str">
        <x:v>35t R-Sport</x:v>
      </x:c>
      <x:c r="L316" s="49" t="str">
        <x:v>2018 Jaguar F-PACE 35t R-Sport</x:v>
      </x:c>
      <x:c r="M316" s="253"/>
      <x:c r="N316" s="257"/>
      <x:c r="O316" s="49" t="str">
        <x:v>Price not exposed</x:v>
      </x:c>
      <x:c r="P316" s="49" t="str">
        <x:v>VEH-9383CE842C21</x:v>
      </x:c>
      <x:c r="Q316" s="49" t="str">
        <x:v>ARPI9383CE842C211</x:v>
      </x:c>
      <x:c r="R316" s="249" t="n">
        <x:v>1</x:v>
      </x:c>
      <x:c r="S316" s="49" t="str">
        <x:v>Sanitized public reference data</x:v>
      </x:c>
    </x:row>
    <x:row r="317" ht="20" customHeight="1">
      <x:c r="A317" s="49" t="str">
        <x:v>GSA003-20260802-0316</x:v>
      </x:c>
      <x:c r="B317" s="49" t="str">
        <x:v>GSA-003</x:v>
      </x:c>
      <x:c r="C317" s="49" t="str">
        <x:v>Granite Used Auto Center of Merrimack</x:v>
      </x:c>
      <x:c r="D317" s="245" t="n">
        <x:v>46236</x:v>
      </x:c>
      <x:c r="E317" s="49" t="str">
        <x:v>GSA003-20260802-001</x:v>
      </x:c>
      <x:c r="F317" s="49" t="str">
        <x:v>sanitized_public_inventory_reference</x:v>
      </x:c>
      <x:c r="G317" s="49" t="str">
        <x:v>Used</x:v>
      </x:c>
      <x:c r="H317" s="249" t="n">
        <x:v>2018</x:v>
      </x:c>
      <x:c r="I317" s="49" t="str">
        <x:v>Audi</x:v>
      </x:c>
      <x:c r="J317" s="49" t="str">
        <x:v>A4</x:v>
      </x:c>
      <x:c r="K317" s="49" t="str">
        <x:v>2.0T Premium Plus</x:v>
      </x:c>
      <x:c r="L317" s="49" t="str">
        <x:v>2018 Audi A4 2.0T Premium Plus</x:v>
      </x:c>
      <x:c r="M317" s="253"/>
      <x:c r="N317" s="257"/>
      <x:c r="O317" s="49" t="str">
        <x:v>Price not exposed</x:v>
      </x:c>
      <x:c r="P317" s="49" t="str">
        <x:v>VEH-EEF274540AFD</x:v>
      </x:c>
      <x:c r="Q317" s="49" t="str">
        <x:v>ARPIEEF274540AFD9</x:v>
      </x:c>
      <x:c r="R317" s="249" t="n">
        <x:v>1</x:v>
      </x:c>
      <x:c r="S317" s="49" t="str">
        <x:v>Sanitized public reference data</x:v>
      </x:c>
    </x:row>
    <x:row r="318" ht="20" customHeight="1">
      <x:c r="A318" s="49" t="str">
        <x:v>GSA003-20260802-0317</x:v>
      </x:c>
      <x:c r="B318" s="49" t="str">
        <x:v>GSA-003</x:v>
      </x:c>
      <x:c r="C318" s="49" t="str">
        <x:v>Granite Used Auto Center of Merrimack</x:v>
      </x:c>
      <x:c r="D318" s="245" t="n">
        <x:v>46236</x:v>
      </x:c>
      <x:c r="E318" s="49" t="str">
        <x:v>GSA003-20260802-001</x:v>
      </x:c>
      <x:c r="F318" s="49" t="str">
        <x:v>sanitized_public_inventory_reference</x:v>
      </x:c>
      <x:c r="G318" s="49" t="str">
        <x:v>Used</x:v>
      </x:c>
      <x:c r="H318" s="249" t="n">
        <x:v>2015</x:v>
      </x:c>
      <x:c r="I318" s="49" t="str">
        <x:v>BMW</x:v>
      </x:c>
      <x:c r="J318" s="49" t="str">
        <x:v>X1</x:v>
      </x:c>
      <x:c r="K318" s="49" t="str">
        <x:v>xDrive28i</x:v>
      </x:c>
      <x:c r="L318" s="49" t="str">
        <x:v>2015 BMW X1 xDrive28i</x:v>
      </x:c>
      <x:c r="M318" s="253"/>
      <x:c r="N318" s="257"/>
      <x:c r="O318" s="49" t="str">
        <x:v>Price not exposed</x:v>
      </x:c>
      <x:c r="P318" s="49" t="str">
        <x:v>VEH-E7B5E6428D65</x:v>
      </x:c>
      <x:c r="Q318" s="49" t="str">
        <x:v>ARPIE7B5E6428D65F</x:v>
      </x:c>
      <x:c r="R318" s="249" t="n">
        <x:v>1</x:v>
      </x:c>
      <x:c r="S318" s="49" t="str">
        <x:v>Sanitized public reference data</x:v>
      </x:c>
    </x:row>
    <x:row r="319" ht="20" customHeight="1">
      <x:c r="A319" s="243" t="str">
        <x:v>GSA003-20260802-0318</x:v>
      </x:c>
      <x:c r="B319" s="243" t="str">
        <x:v>GSA-003</x:v>
      </x:c>
      <x:c r="C319" s="243" t="str">
        <x:v>Granite Used Auto Center of Merrimack</x:v>
      </x:c>
      <x:c r="D319" s="246" t="n">
        <x:v>46236</x:v>
      </x:c>
      <x:c r="E319" s="243" t="str">
        <x:v>GSA003-20260802-001</x:v>
      </x:c>
      <x:c r="F319" s="243" t="str">
        <x:v>sanitized_public_inventory_reference</x:v>
      </x:c>
      <x:c r="G319" s="243" t="str">
        <x:v>Used</x:v>
      </x:c>
      <x:c r="H319" s="250" t="n">
        <x:v>2021</x:v>
      </x:c>
      <x:c r="I319" s="243" t="str">
        <x:v>Jeep</x:v>
      </x:c>
      <x:c r="J319" s="243" t="str">
        <x:v>Renegade</x:v>
      </x:c>
      <x:c r="K319" s="243" t="str">
        <x:v>Sport</x:v>
      </x:c>
      <x:c r="L319" s="243" t="str">
        <x:v>2021 Jeep Renegade Sport</x:v>
      </x:c>
      <x:c r="M319" s="254"/>
      <x:c r="N319" s="258"/>
      <x:c r="O319" s="243" t="str">
        <x:v>Price not exposed</x:v>
      </x:c>
      <x:c r="P319" s="243" t="str">
        <x:v>VEH-98CB3F4611F4</x:v>
      </x:c>
      <x:c r="Q319" s="243" t="str">
        <x:v>ARPI98CB3F4611F47</x:v>
      </x:c>
      <x:c r="R319" s="250" t="n">
        <x:v>1</x:v>
      </x:c>
      <x:c r="S319" s="243" t="str">
        <x:v>Sanitized public reference data</x:v>
      </x:c>
    </x:row>
  </x:sheetData>
  <x:conditionalFormatting sqref="O2:O319">
    <x:cfRule type="expression" dxfId="0" priority="1">
      <x:formula>O2="Price not exposed"</x:formula>
    </x:cfRule>
  </x:conditionalFormatting>
  <x:conditionalFormatting sqref="N2:N319">
    <x:cfRule type="dataBar" priority="2">
      <x:dataBar>
        <x:cfvo type="min"/>
        <x:cfvo type="max"/>
        <x:color rgb="FF0A6C8B"/>
      </x:dataBar>
      <x:extLst>
        <x:ext xmlns:x14="http://schemas.microsoft.com/office/spreadsheetml/2009/9/main" uri="{B025F937-C7B1-47D3-B67F-A62EFF666E3E}">
          <x14:id>{75187EE9-2A16-5A5E-76BC-21EEE32E1F4E}</x14:id>
        </x:ext>
      </x:extLst>
    </x:cfRule>
  </x:conditionalFormatting>
  <x:dataValidations count="2">
    <x:dataValidation type="list" sqref="G2:G319">
      <x:formula1>"New,Used"</x:formula1>
    </x:dataValidation>
    <x:dataValidation type="list" sqref="O2:O319">
      <x:formula1>"Listed,Price not exposed,Call for price"</x:formula1>
    </x:dataValidation>
  </x:dataValidations>
  <x:pageMargins left="0.7" right="0.7" top="0.75" bottom="0.75" header="0.3" footer="0.3"/>
  <x:tableParts count="1">
    <x:tablePart xmlns:r="http://schemas.openxmlformats.org/officeDocument/2006/relationships" r:id="R40dfb058997a4f32"/>
  </x:tableParts>
  <x:extLst>
    <x:ext xmlns:x14="http://schemas.microsoft.com/office/spreadsheetml/2009/9/main" xmlns:xm="http://schemas.microsoft.com/office/excel/2006/main" uri="{78C0D931-6437-407d-A8EE-F0AAD7539E65}">
      <x14:conditionalFormattings>
        <x14:conditionalFormatting>
          <x14:cfRule type="dataBar" priority="2" id="{75187EE9-2A16-5A5E-76BC-21EEE32E1F4E}">
            <x14:dataBar gradient="1">
              <x14:cfvo type="min"/>
              <x14:cfvo type="max"/>
              <x14:fillColor rgb="FF0A6C8B"/>
            </x14:dataBar>
          </x14:cfRule>
          <xm:sqref>N2:N319</xm:sqref>
        </x14:conditionalFormatting>
      </x14:conditionalFormattings>
    </x:ext>
  </x:extLst>
</x:worksheet>
</file>

<file path=xl/worksheets/sheet4.xml><?xml version="1.0" encoding="utf-8"?>
<x:worksheet xmlns:x="http://schemas.openxmlformats.org/spreadsheetml/2006/main">
  <x:sheetFormatPr defaultRowHeight="15"/>
  <x:cols>
    <x:col min="1" max="1" width="12" hidden="0" customWidth="1"/>
    <x:col min="2" max="2" width="20" hidden="0" customWidth="1"/>
    <x:col min="3" max="3" width="34" hidden="0" customWidth="1"/>
    <x:col min="4" max="4" width="14" hidden="0" customWidth="1"/>
    <x:col min="5" max="5" width="13" hidden="0" customWidth="1"/>
    <x:col min="6" max="6" width="18" hidden="0" customWidth="1"/>
    <x:col min="7" max="7" width="22" hidden="0" customWidth="1"/>
    <x:col min="8" max="8" width="22" hidden="0" customWidth="1"/>
    <x:col min="9" max="9" width="22" hidden="0" customWidth="1"/>
  </x:cols>
  <x:sheetData>
    <x:row r="1" ht="28" customHeight="1">
      <x:c r="A1" s="5" t="str">
        <x:v>ARPI Inventory Operations | Granite Used Auto Center Model Summary</x:v>
      </x:c>
      <x:c r="B1" s="5"/>
      <x:c r="C1" s="5"/>
      <x:c r="D1" s="5"/>
      <x:c r="E1" s="5"/>
      <x:c r="F1" s="5"/>
      <x:c r="G1" s="5"/>
      <x:c r="H1" s="5"/>
      <x:c r="I1" s="5"/>
    </x:row>
    <x:row r="2" ht="28" customHeight="1">
      <x:c r="A2" s="5"/>
      <x:c r="B2" s="5"/>
      <x:c r="C2" s="5"/>
      <x:c r="D2" s="5"/>
      <x:c r="E2" s="5"/>
      <x:c r="F2" s="5"/>
      <x:c r="G2" s="5"/>
      <x:c r="H2" s="5"/>
      <x:c r="I2" s="5"/>
    </x:row>
    <x:row r="4">
      <x:c r="A4" s="261" t="str">
        <x:v>Condition</x:v>
      </x:c>
      <x:c r="B4" s="329" t="str">
        <x:v>Make</x:v>
      </x:c>
      <x:c r="C4" s="329" t="str">
        <x:v>Model</x:v>
      </x:c>
      <x:c r="D4" s="329" t="str">
        <x:v>Indexed Units</x:v>
      </x:c>
      <x:c r="E4" s="329" t="str">
        <x:v>Listed Units</x:v>
      </x:c>
      <x:c r="F4" s="329" t="str">
        <x:v>Price Not Exposed</x:v>
      </x:c>
      <x:c r="G4" s="329" t="str">
        <x:v>Average Advertised Price</x:v>
      </x:c>
      <x:c r="H4" s="329" t="str">
        <x:v>Minimum Advertised Price</x:v>
      </x:c>
      <x:c r="I4" s="262" t="str">
        <x:v>Maximum Advertised Price</x:v>
      </x:c>
    </x:row>
    <x:row r="5">
      <x:c r="A5" s="48" t="str">
        <x:v>Used</x:v>
      </x:c>
      <x:c r="B5" s="49" t="str">
        <x:v>Nissan</x:v>
      </x:c>
      <x:c r="C5" s="49" t="str">
        <x:v>Rogue</x:v>
      </x:c>
      <x:c r="D5" s="249" t="n">
        <x:f>COUNTIFS(Inventory!$G$2:$G$319,$A5,Inventory!$I$2:$I$319,$B5,Inventory!$J$2:$J$319,$C5)</x:f>
        <x:v>16</x:v>
      </x:c>
      <x:c r="E5" s="249" t="n">
        <x:f>COUNTIFS(Inventory!$G$2:$G$319,$A5,Inventory!$I$2:$I$319,$B5,Inventory!$J$2:$J$319,$C5,Inventory!$O$2:$O$319,"Listed")</x:f>
        <x:v>2</x:v>
      </x:c>
      <x:c r="F5" s="249" t="n">
        <x:f>COUNTIFS(Inventory!$G$2:$G$319,$A5,Inventory!$I$2:$I$319,$B5,Inventory!$J$2:$J$319,$C5,Inventory!$O$2:$O$319,"Price not exposed")</x:f>
        <x:v>14</x:v>
      </x:c>
      <x:c r="G5" s="257" t="n">
        <x:f>IF(E5=0,"",SUMIFS(Inventory!$N$2:$N$319,Inventory!$G$2:$G$319,$A5,Inventory!$I$2:$I$319,$B5,Inventory!$J$2:$J$319,$C5,Inventory!$O$2:$O$319,"Listed")/E5)</x:f>
        <x:v>16595</x:v>
      </x:c>
      <x:c r="H5" s="257" t="n">
        <x:f>IF(E5=0,"",MINIFS(Inventory!$N$2:$N$319,Inventory!$G$2:$G$319,$A5,Inventory!$I$2:$I$319,$B5,Inventory!$J$2:$J$319,$C5,Inventory!$O$2:$O$319,"Listed"))</x:f>
        <x:v>9895</x:v>
      </x:c>
      <x:c r="I5" s="269" t="n">
        <x:f>IF(E5=0,"",MAXIFS(Inventory!$N$2:$N$319,Inventory!$G$2:$G$319,$A5,Inventory!$I$2:$I$319,$B5,Inventory!$J$2:$J$319,$C5,Inventory!$O$2:$O$319,"Listed"))</x:f>
        <x:v>23295</x:v>
      </x:c>
    </x:row>
    <x:row r="6">
      <x:c r="A6" s="48" t="str">
        <x:v>Used</x:v>
      </x:c>
      <x:c r="B6" s="49" t="str">
        <x:v>Ram</x:v>
      </x:c>
      <x:c r="C6" s="49" t="str">
        <x:v>1500</x:v>
      </x:c>
      <x:c r="D6" s="249" t="n">
        <x:f>COUNTIFS(Inventory!$G$2:$G$319,$A6,Inventory!$I$2:$I$319,$B6,Inventory!$J$2:$J$319,$C6)</x:f>
        <x:v>13</x:v>
      </x:c>
      <x:c r="E6" s="249" t="n">
        <x:f>COUNTIFS(Inventory!$G$2:$G$319,$A6,Inventory!$I$2:$I$319,$B6,Inventory!$J$2:$J$319,$C6,Inventory!$O$2:$O$319,"Listed")</x:f>
        <x:v>2</x:v>
      </x:c>
      <x:c r="F6" s="249" t="n">
        <x:f>COUNTIFS(Inventory!$G$2:$G$319,$A6,Inventory!$I$2:$I$319,$B6,Inventory!$J$2:$J$319,$C6,Inventory!$O$2:$O$319,"Price not exposed")</x:f>
        <x:v>11</x:v>
      </x:c>
      <x:c r="G6" s="257" t="n">
        <x:f>IF(E6=0,"",SUMIFS(Inventory!$N$2:$N$319,Inventory!$G$2:$G$319,$A6,Inventory!$I$2:$I$319,$B6,Inventory!$J$2:$J$319,$C6,Inventory!$O$2:$O$319,"Listed")/E6)</x:f>
        <x:v>21995</x:v>
      </x:c>
      <x:c r="H6" s="257" t="n">
        <x:f>IF(E6=0,"",MINIFS(Inventory!$N$2:$N$319,Inventory!$G$2:$G$319,$A6,Inventory!$I$2:$I$319,$B6,Inventory!$J$2:$J$319,$C6,Inventory!$O$2:$O$319,"Listed"))</x:f>
        <x:v>19495</x:v>
      </x:c>
      <x:c r="I6" s="269" t="n">
        <x:f>IF(E6=0,"",MAXIFS(Inventory!$N$2:$N$319,Inventory!$G$2:$G$319,$A6,Inventory!$I$2:$I$319,$B6,Inventory!$J$2:$J$319,$C6,Inventory!$O$2:$O$319,"Listed"))</x:f>
        <x:v>24495</x:v>
      </x:c>
    </x:row>
    <x:row r="7">
      <x:c r="A7" s="48" t="str">
        <x:v>Used</x:v>
      </x:c>
      <x:c r="B7" s="49" t="str">
        <x:v>Ford</x:v>
      </x:c>
      <x:c r="C7" s="49" t="str">
        <x:v>F-150</x:v>
      </x:c>
      <x:c r="D7" s="249" t="n">
        <x:f>COUNTIFS(Inventory!$G$2:$G$319,$A7,Inventory!$I$2:$I$319,$B7,Inventory!$J$2:$J$319,$C7)</x:f>
        <x:v>9</x:v>
      </x:c>
      <x:c r="E7" s="249" t="n">
        <x:f>COUNTIFS(Inventory!$G$2:$G$319,$A7,Inventory!$I$2:$I$319,$B7,Inventory!$J$2:$J$319,$C7,Inventory!$O$2:$O$319,"Listed")</x:f>
        <x:v>1</x:v>
      </x:c>
      <x:c r="F7" s="249" t="n">
        <x:f>COUNTIFS(Inventory!$G$2:$G$319,$A7,Inventory!$I$2:$I$319,$B7,Inventory!$J$2:$J$319,$C7,Inventory!$O$2:$O$319,"Price not exposed")</x:f>
        <x:v>8</x:v>
      </x:c>
      <x:c r="G7" s="257" t="n">
        <x:f>IF(E7=0,"",SUMIFS(Inventory!$N$2:$N$319,Inventory!$G$2:$G$319,$A7,Inventory!$I$2:$I$319,$B7,Inventory!$J$2:$J$319,$C7,Inventory!$O$2:$O$319,"Listed")/E7)</x:f>
        <x:v>13395</x:v>
      </x:c>
      <x:c r="H7" s="257" t="n">
        <x:f>IF(E7=0,"",MINIFS(Inventory!$N$2:$N$319,Inventory!$G$2:$G$319,$A7,Inventory!$I$2:$I$319,$B7,Inventory!$J$2:$J$319,$C7,Inventory!$O$2:$O$319,"Listed"))</x:f>
        <x:v>13395</x:v>
      </x:c>
      <x:c r="I7" s="269" t="n">
        <x:f>IF(E7=0,"",MAXIFS(Inventory!$N$2:$N$319,Inventory!$G$2:$G$319,$A7,Inventory!$I$2:$I$319,$B7,Inventory!$J$2:$J$319,$C7,Inventory!$O$2:$O$319,"Listed"))</x:f>
        <x:v>13395</x:v>
      </x:c>
    </x:row>
    <x:row r="8">
      <x:c r="A8" s="48" t="str">
        <x:v>Used</x:v>
      </x:c>
      <x:c r="B8" s="49" t="str">
        <x:v>BMW</x:v>
      </x:c>
      <x:c r="C8" s="49" t="str">
        <x:v>X5</x:v>
      </x:c>
      <x:c r="D8" s="249" t="n">
        <x:f>COUNTIFS(Inventory!$G$2:$G$319,$A8,Inventory!$I$2:$I$319,$B8,Inventory!$J$2:$J$319,$C8)</x:f>
        <x:v>8</x:v>
      </x:c>
      <x:c r="E8" s="249" t="n">
        <x:f>COUNTIFS(Inventory!$G$2:$G$319,$A8,Inventory!$I$2:$I$319,$B8,Inventory!$J$2:$J$319,$C8,Inventory!$O$2:$O$319,"Listed")</x:f>
        <x:v>0</x:v>
      </x:c>
      <x:c r="F8" s="249" t="n">
        <x:f>COUNTIFS(Inventory!$G$2:$G$319,$A8,Inventory!$I$2:$I$319,$B8,Inventory!$J$2:$J$319,$C8,Inventory!$O$2:$O$319,"Price not exposed")</x:f>
        <x:v>8</x:v>
      </x:c>
      <x:c r="G8" s="257" t="str">
        <x:f>IF(E8=0,"",SUMIFS(Inventory!$N$2:$N$319,Inventory!$G$2:$G$319,$A8,Inventory!$I$2:$I$319,$B8,Inventory!$J$2:$J$319,$C8,Inventory!$O$2:$O$319,"Listed")/E8)</x:f>
      </x:c>
      <x:c r="H8" s="257" t="str">
        <x:f>IF(E8=0,"",MINIFS(Inventory!$N$2:$N$319,Inventory!$G$2:$G$319,$A8,Inventory!$I$2:$I$319,$B8,Inventory!$J$2:$J$319,$C8,Inventory!$O$2:$O$319,"Listed"))</x:f>
      </x:c>
      <x:c r="I8" s="269" t="str">
        <x:f>IF(E8=0,"",MAXIFS(Inventory!$N$2:$N$319,Inventory!$G$2:$G$319,$A8,Inventory!$I$2:$I$319,$B8,Inventory!$J$2:$J$319,$C8,Inventory!$O$2:$O$319,"Listed"))</x:f>
      </x:c>
    </x:row>
    <x:row r="9">
      <x:c r="A9" s="48" t="str">
        <x:v>Used</x:v>
      </x:c>
      <x:c r="B9" s="49" t="str">
        <x:v>Chevrolet</x:v>
      </x:c>
      <x:c r="C9" s="49" t="str">
        <x:v>Silverado 1500</x:v>
      </x:c>
      <x:c r="D9" s="249" t="n">
        <x:f>COUNTIFS(Inventory!$G$2:$G$319,$A9,Inventory!$I$2:$I$319,$B9,Inventory!$J$2:$J$319,$C9)</x:f>
        <x:v>8</x:v>
      </x:c>
      <x:c r="E9" s="249" t="n">
        <x:f>COUNTIFS(Inventory!$G$2:$G$319,$A9,Inventory!$I$2:$I$319,$B9,Inventory!$J$2:$J$319,$C9,Inventory!$O$2:$O$319,"Listed")</x:f>
        <x:v>0</x:v>
      </x:c>
      <x:c r="F9" s="249" t="n">
        <x:f>COUNTIFS(Inventory!$G$2:$G$319,$A9,Inventory!$I$2:$I$319,$B9,Inventory!$J$2:$J$319,$C9,Inventory!$O$2:$O$319,"Price not exposed")</x:f>
        <x:v>8</x:v>
      </x:c>
      <x:c r="G9" s="257" t="str">
        <x:f>IF(E9=0,"",SUMIFS(Inventory!$N$2:$N$319,Inventory!$G$2:$G$319,$A9,Inventory!$I$2:$I$319,$B9,Inventory!$J$2:$J$319,$C9,Inventory!$O$2:$O$319,"Listed")/E9)</x:f>
      </x:c>
      <x:c r="H9" s="257" t="str">
        <x:f>IF(E9=0,"",MINIFS(Inventory!$N$2:$N$319,Inventory!$G$2:$G$319,$A9,Inventory!$I$2:$I$319,$B9,Inventory!$J$2:$J$319,$C9,Inventory!$O$2:$O$319,"Listed"))</x:f>
      </x:c>
      <x:c r="I9" s="269" t="str">
        <x:f>IF(E9=0,"",MAXIFS(Inventory!$N$2:$N$319,Inventory!$G$2:$G$319,$A9,Inventory!$I$2:$I$319,$B9,Inventory!$J$2:$J$319,$C9,Inventory!$O$2:$O$319,"Listed"))</x:f>
      </x:c>
    </x:row>
    <x:row r="10">
      <x:c r="A10" s="48" t="str">
        <x:v>Used</x:v>
      </x:c>
      <x:c r="B10" s="49" t="str">
        <x:v>Ford</x:v>
      </x:c>
      <x:c r="C10" s="49" t="str">
        <x:v>Escape</x:v>
      </x:c>
      <x:c r="D10" s="249" t="n">
        <x:f>COUNTIFS(Inventory!$G$2:$G$319,$A10,Inventory!$I$2:$I$319,$B10,Inventory!$J$2:$J$319,$C10)</x:f>
        <x:v>8</x:v>
      </x:c>
      <x:c r="E10" s="249" t="n">
        <x:f>COUNTIFS(Inventory!$G$2:$G$319,$A10,Inventory!$I$2:$I$319,$B10,Inventory!$J$2:$J$319,$C10,Inventory!$O$2:$O$319,"Listed")</x:f>
        <x:v>0</x:v>
      </x:c>
      <x:c r="F10" s="249" t="n">
        <x:f>COUNTIFS(Inventory!$G$2:$G$319,$A10,Inventory!$I$2:$I$319,$B10,Inventory!$J$2:$J$319,$C10,Inventory!$O$2:$O$319,"Price not exposed")</x:f>
        <x:v>8</x:v>
      </x:c>
      <x:c r="G10" s="257" t="str">
        <x:f>IF(E10=0,"",SUMIFS(Inventory!$N$2:$N$319,Inventory!$G$2:$G$319,$A10,Inventory!$I$2:$I$319,$B10,Inventory!$J$2:$J$319,$C10,Inventory!$O$2:$O$319,"Listed")/E10)</x:f>
      </x:c>
      <x:c r="H10" s="257" t="str">
        <x:f>IF(E10=0,"",MINIFS(Inventory!$N$2:$N$319,Inventory!$G$2:$G$319,$A10,Inventory!$I$2:$I$319,$B10,Inventory!$J$2:$J$319,$C10,Inventory!$O$2:$O$319,"Listed"))</x:f>
      </x:c>
      <x:c r="I10" s="269" t="str">
        <x:f>IF(E10=0,"",MAXIFS(Inventory!$N$2:$N$319,Inventory!$G$2:$G$319,$A10,Inventory!$I$2:$I$319,$B10,Inventory!$J$2:$J$319,$C10,Inventory!$O$2:$O$319,"Listed"))</x:f>
      </x:c>
    </x:row>
    <x:row r="11">
      <x:c r="A11" s="48" t="str">
        <x:v>Used</x:v>
      </x:c>
      <x:c r="B11" s="49" t="str">
        <x:v>Jeep</x:v>
      </x:c>
      <x:c r="C11" s="49" t="str">
        <x:v>Compass</x:v>
      </x:c>
      <x:c r="D11" s="249" t="n">
        <x:f>COUNTIFS(Inventory!$G$2:$G$319,$A11,Inventory!$I$2:$I$319,$B11,Inventory!$J$2:$J$319,$C11)</x:f>
        <x:v>8</x:v>
      </x:c>
      <x:c r="E11" s="249" t="n">
        <x:f>COUNTIFS(Inventory!$G$2:$G$319,$A11,Inventory!$I$2:$I$319,$B11,Inventory!$J$2:$J$319,$C11,Inventory!$O$2:$O$319,"Listed")</x:f>
        <x:v>1</x:v>
      </x:c>
      <x:c r="F11" s="249" t="n">
        <x:f>COUNTIFS(Inventory!$G$2:$G$319,$A11,Inventory!$I$2:$I$319,$B11,Inventory!$J$2:$J$319,$C11,Inventory!$O$2:$O$319,"Price not exposed")</x:f>
        <x:v>7</x:v>
      </x:c>
      <x:c r="G11" s="257" t="n">
        <x:f>IF(E11=0,"",SUMIFS(Inventory!$N$2:$N$319,Inventory!$G$2:$G$319,$A11,Inventory!$I$2:$I$319,$B11,Inventory!$J$2:$J$319,$C11,Inventory!$O$2:$O$319,"Listed")/E11)</x:f>
        <x:v>18395</x:v>
      </x:c>
      <x:c r="H11" s="257" t="n">
        <x:f>IF(E11=0,"",MINIFS(Inventory!$N$2:$N$319,Inventory!$G$2:$G$319,$A11,Inventory!$I$2:$I$319,$B11,Inventory!$J$2:$J$319,$C11,Inventory!$O$2:$O$319,"Listed"))</x:f>
        <x:v>18395</x:v>
      </x:c>
      <x:c r="I11" s="269" t="n">
        <x:f>IF(E11=0,"",MAXIFS(Inventory!$N$2:$N$319,Inventory!$G$2:$G$319,$A11,Inventory!$I$2:$I$319,$B11,Inventory!$J$2:$J$319,$C11,Inventory!$O$2:$O$319,"Listed"))</x:f>
        <x:v>18395</x:v>
      </x:c>
    </x:row>
    <x:row r="12">
      <x:c r="A12" s="48" t="str">
        <x:v>Used</x:v>
      </x:c>
      <x:c r="B12" s="49" t="str">
        <x:v>Jeep</x:v>
      </x:c>
      <x:c r="C12" s="49" t="str">
        <x:v>Grand Cherokee</x:v>
      </x:c>
      <x:c r="D12" s="249" t="n">
        <x:f>COUNTIFS(Inventory!$G$2:$G$319,$A12,Inventory!$I$2:$I$319,$B12,Inventory!$J$2:$J$319,$C12)</x:f>
        <x:v>8</x:v>
      </x:c>
      <x:c r="E12" s="249" t="n">
        <x:f>COUNTIFS(Inventory!$G$2:$G$319,$A12,Inventory!$I$2:$I$319,$B12,Inventory!$J$2:$J$319,$C12,Inventory!$O$2:$O$319,"Listed")</x:f>
        <x:v>2</x:v>
      </x:c>
      <x:c r="F12" s="249" t="n">
        <x:f>COUNTIFS(Inventory!$G$2:$G$319,$A12,Inventory!$I$2:$I$319,$B12,Inventory!$J$2:$J$319,$C12,Inventory!$O$2:$O$319,"Price not exposed")</x:f>
        <x:v>6</x:v>
      </x:c>
      <x:c r="G12" s="257" t="n">
        <x:f>IF(E12=0,"",SUMIFS(Inventory!$N$2:$N$319,Inventory!$G$2:$G$319,$A12,Inventory!$I$2:$I$319,$B12,Inventory!$J$2:$J$319,$C12,Inventory!$O$2:$O$319,"Listed")/E12)</x:f>
        <x:v>14345</x:v>
      </x:c>
      <x:c r="H12" s="257" t="n">
        <x:f>IF(E12=0,"",MINIFS(Inventory!$N$2:$N$319,Inventory!$G$2:$G$319,$A12,Inventory!$I$2:$I$319,$B12,Inventory!$J$2:$J$319,$C12,Inventory!$O$2:$O$319,"Listed"))</x:f>
        <x:v>12295</x:v>
      </x:c>
      <x:c r="I12" s="269" t="n">
        <x:f>IF(E12=0,"",MAXIFS(Inventory!$N$2:$N$319,Inventory!$G$2:$G$319,$A12,Inventory!$I$2:$I$319,$B12,Inventory!$J$2:$J$319,$C12,Inventory!$O$2:$O$319,"Listed"))</x:f>
        <x:v>16395</x:v>
      </x:c>
    </x:row>
    <x:row r="13">
      <x:c r="A13" s="48" t="str">
        <x:v>Used</x:v>
      </x:c>
      <x:c r="B13" s="49" t="str">
        <x:v>Chevrolet</x:v>
      </x:c>
      <x:c r="C13" s="49" t="str">
        <x:v>Equinox</x:v>
      </x:c>
      <x:c r="D13" s="249" t="n">
        <x:f>COUNTIFS(Inventory!$G$2:$G$319,$A13,Inventory!$I$2:$I$319,$B13,Inventory!$J$2:$J$319,$C13)</x:f>
        <x:v>6</x:v>
      </x:c>
      <x:c r="E13" s="249" t="n">
        <x:f>COUNTIFS(Inventory!$G$2:$G$319,$A13,Inventory!$I$2:$I$319,$B13,Inventory!$J$2:$J$319,$C13,Inventory!$O$2:$O$319,"Listed")</x:f>
        <x:v>0</x:v>
      </x:c>
      <x:c r="F13" s="249" t="n">
        <x:f>COUNTIFS(Inventory!$G$2:$G$319,$A13,Inventory!$I$2:$I$319,$B13,Inventory!$J$2:$J$319,$C13,Inventory!$O$2:$O$319,"Price not exposed")</x:f>
        <x:v>6</x:v>
      </x:c>
      <x:c r="G13" s="257" t="str">
        <x:f>IF(E13=0,"",SUMIFS(Inventory!$N$2:$N$319,Inventory!$G$2:$G$319,$A13,Inventory!$I$2:$I$319,$B13,Inventory!$J$2:$J$319,$C13,Inventory!$O$2:$O$319,"Listed")/E13)</x:f>
      </x:c>
      <x:c r="H13" s="257" t="str">
        <x:f>IF(E13=0,"",MINIFS(Inventory!$N$2:$N$319,Inventory!$G$2:$G$319,$A13,Inventory!$I$2:$I$319,$B13,Inventory!$J$2:$J$319,$C13,Inventory!$O$2:$O$319,"Listed"))</x:f>
      </x:c>
      <x:c r="I13" s="269" t="str">
        <x:f>IF(E13=0,"",MAXIFS(Inventory!$N$2:$N$319,Inventory!$G$2:$G$319,$A13,Inventory!$I$2:$I$319,$B13,Inventory!$J$2:$J$319,$C13,Inventory!$O$2:$O$319,"Listed"))</x:f>
      </x:c>
    </x:row>
    <x:row r="14">
      <x:c r="A14" s="48" t="str">
        <x:v>Used</x:v>
      </x:c>
      <x:c r="B14" s="49" t="str">
        <x:v>Chevrolet</x:v>
      </x:c>
      <x:c r="C14" s="49" t="str">
        <x:v>Silverado 2500HD</x:v>
      </x:c>
      <x:c r="D14" s="249" t="n">
        <x:f>COUNTIFS(Inventory!$G$2:$G$319,$A14,Inventory!$I$2:$I$319,$B14,Inventory!$J$2:$J$319,$C14)</x:f>
        <x:v>6</x:v>
      </x:c>
      <x:c r="E14" s="249" t="n">
        <x:f>COUNTIFS(Inventory!$G$2:$G$319,$A14,Inventory!$I$2:$I$319,$B14,Inventory!$J$2:$J$319,$C14,Inventory!$O$2:$O$319,"Listed")</x:f>
        <x:v>1</x:v>
      </x:c>
      <x:c r="F14" s="249" t="n">
        <x:f>COUNTIFS(Inventory!$G$2:$G$319,$A14,Inventory!$I$2:$I$319,$B14,Inventory!$J$2:$J$319,$C14,Inventory!$O$2:$O$319,"Price not exposed")</x:f>
        <x:v>5</x:v>
      </x:c>
      <x:c r="G14" s="257" t="n">
        <x:f>IF(E14=0,"",SUMIFS(Inventory!$N$2:$N$319,Inventory!$G$2:$G$319,$A14,Inventory!$I$2:$I$319,$B14,Inventory!$J$2:$J$319,$C14,Inventory!$O$2:$O$319,"Listed")/E14)</x:f>
        <x:v>17795</x:v>
      </x:c>
      <x:c r="H14" s="257" t="n">
        <x:f>IF(E14=0,"",MINIFS(Inventory!$N$2:$N$319,Inventory!$G$2:$G$319,$A14,Inventory!$I$2:$I$319,$B14,Inventory!$J$2:$J$319,$C14,Inventory!$O$2:$O$319,"Listed"))</x:f>
        <x:v>17795</x:v>
      </x:c>
      <x:c r="I14" s="269" t="n">
        <x:f>IF(E14=0,"",MAXIFS(Inventory!$N$2:$N$319,Inventory!$G$2:$G$319,$A14,Inventory!$I$2:$I$319,$B14,Inventory!$J$2:$J$319,$C14,Inventory!$O$2:$O$319,"Listed"))</x:f>
        <x:v>17795</x:v>
      </x:c>
    </x:row>
    <x:row r="15">
      <x:c r="A15" s="48" t="str">
        <x:v>Used</x:v>
      </x:c>
      <x:c r="B15" s="49" t="str">
        <x:v>Nissan</x:v>
      </x:c>
      <x:c r="C15" s="49" t="str">
        <x:v>Pathfinder</x:v>
      </x:c>
      <x:c r="D15" s="249" t="n">
        <x:f>COUNTIFS(Inventory!$G$2:$G$319,$A15,Inventory!$I$2:$I$319,$B15,Inventory!$J$2:$J$319,$C15)</x:f>
        <x:v>6</x:v>
      </x:c>
      <x:c r="E15" s="249" t="n">
        <x:f>COUNTIFS(Inventory!$G$2:$G$319,$A15,Inventory!$I$2:$I$319,$B15,Inventory!$J$2:$J$319,$C15,Inventory!$O$2:$O$319,"Listed")</x:f>
        <x:v>1</x:v>
      </x:c>
      <x:c r="F15" s="249" t="n">
        <x:f>COUNTIFS(Inventory!$G$2:$G$319,$A15,Inventory!$I$2:$I$319,$B15,Inventory!$J$2:$J$319,$C15,Inventory!$O$2:$O$319,"Price not exposed")</x:f>
        <x:v>5</x:v>
      </x:c>
      <x:c r="G15" s="257" t="n">
        <x:f>IF(E15=0,"",SUMIFS(Inventory!$N$2:$N$319,Inventory!$G$2:$G$319,$A15,Inventory!$I$2:$I$319,$B15,Inventory!$J$2:$J$319,$C15,Inventory!$O$2:$O$319,"Listed")/E15)</x:f>
        <x:v>34395</x:v>
      </x:c>
      <x:c r="H15" s="257" t="n">
        <x:f>IF(E15=0,"",MINIFS(Inventory!$N$2:$N$319,Inventory!$G$2:$G$319,$A15,Inventory!$I$2:$I$319,$B15,Inventory!$J$2:$J$319,$C15,Inventory!$O$2:$O$319,"Listed"))</x:f>
        <x:v>34395</x:v>
      </x:c>
      <x:c r="I15" s="269" t="n">
        <x:f>IF(E15=0,"",MAXIFS(Inventory!$N$2:$N$319,Inventory!$G$2:$G$319,$A15,Inventory!$I$2:$I$319,$B15,Inventory!$J$2:$J$319,$C15,Inventory!$O$2:$O$319,"Listed"))</x:f>
        <x:v>34395</x:v>
      </x:c>
    </x:row>
    <x:row r="16">
      <x:c r="A16" s="48" t="str">
        <x:v>Used</x:v>
      </x:c>
      <x:c r="B16" s="49" t="str">
        <x:v>Ram</x:v>
      </x:c>
      <x:c r="C16" s="49" t="str">
        <x:v>1500 Classic</x:v>
      </x:c>
      <x:c r="D16" s="249" t="n">
        <x:f>COUNTIFS(Inventory!$G$2:$G$319,$A16,Inventory!$I$2:$I$319,$B16,Inventory!$J$2:$J$319,$C16)</x:f>
        <x:v>6</x:v>
      </x:c>
      <x:c r="E16" s="249" t="n">
        <x:f>COUNTIFS(Inventory!$G$2:$G$319,$A16,Inventory!$I$2:$I$319,$B16,Inventory!$J$2:$J$319,$C16,Inventory!$O$2:$O$319,"Listed")</x:f>
        <x:v>0</x:v>
      </x:c>
      <x:c r="F16" s="249" t="n">
        <x:f>COUNTIFS(Inventory!$G$2:$G$319,$A16,Inventory!$I$2:$I$319,$B16,Inventory!$J$2:$J$319,$C16,Inventory!$O$2:$O$319,"Price not exposed")</x:f>
        <x:v>6</x:v>
      </x:c>
      <x:c r="G16" s="257" t="str">
        <x:f>IF(E16=0,"",SUMIFS(Inventory!$N$2:$N$319,Inventory!$G$2:$G$319,$A16,Inventory!$I$2:$I$319,$B16,Inventory!$J$2:$J$319,$C16,Inventory!$O$2:$O$319,"Listed")/E16)</x:f>
      </x:c>
      <x:c r="H16" s="257" t="str">
        <x:f>IF(E16=0,"",MINIFS(Inventory!$N$2:$N$319,Inventory!$G$2:$G$319,$A16,Inventory!$I$2:$I$319,$B16,Inventory!$J$2:$J$319,$C16,Inventory!$O$2:$O$319,"Listed"))</x:f>
      </x:c>
      <x:c r="I16" s="269" t="str">
        <x:f>IF(E16=0,"",MAXIFS(Inventory!$N$2:$N$319,Inventory!$G$2:$G$319,$A16,Inventory!$I$2:$I$319,$B16,Inventory!$J$2:$J$319,$C16,Inventory!$O$2:$O$319,"Listed"))</x:f>
      </x:c>
    </x:row>
    <x:row r="17">
      <x:c r="A17" s="48" t="str">
        <x:v>Used</x:v>
      </x:c>
      <x:c r="B17" s="49" t="str">
        <x:v>Subaru</x:v>
      </x:c>
      <x:c r="C17" s="49" t="str">
        <x:v>Forester</x:v>
      </x:c>
      <x:c r="D17" s="249" t="n">
        <x:f>COUNTIFS(Inventory!$G$2:$G$319,$A17,Inventory!$I$2:$I$319,$B17,Inventory!$J$2:$J$319,$C17)</x:f>
        <x:v>6</x:v>
      </x:c>
      <x:c r="E17" s="249" t="n">
        <x:f>COUNTIFS(Inventory!$G$2:$G$319,$A17,Inventory!$I$2:$I$319,$B17,Inventory!$J$2:$J$319,$C17,Inventory!$O$2:$O$319,"Listed")</x:f>
        <x:v>3</x:v>
      </x:c>
      <x:c r="F17" s="249" t="n">
        <x:f>COUNTIFS(Inventory!$G$2:$G$319,$A17,Inventory!$I$2:$I$319,$B17,Inventory!$J$2:$J$319,$C17,Inventory!$O$2:$O$319,"Price not exposed")</x:f>
        <x:v>3</x:v>
      </x:c>
      <x:c r="G17" s="257" t="n">
        <x:f>IF(E17=0,"",SUMIFS(Inventory!$N$2:$N$319,Inventory!$G$2:$G$319,$A17,Inventory!$I$2:$I$319,$B17,Inventory!$J$2:$J$319,$C17,Inventory!$O$2:$O$319,"Listed")/E17)</x:f>
        <x:v>13595</x:v>
      </x:c>
      <x:c r="H17" s="257" t="n">
        <x:f>IF(E17=0,"",MINIFS(Inventory!$N$2:$N$319,Inventory!$G$2:$G$319,$A17,Inventory!$I$2:$I$319,$B17,Inventory!$J$2:$J$319,$C17,Inventory!$O$2:$O$319,"Listed"))</x:f>
        <x:v>9395</x:v>
      </x:c>
      <x:c r="I17" s="269" t="n">
        <x:f>IF(E17=0,"",MAXIFS(Inventory!$N$2:$N$319,Inventory!$G$2:$G$319,$A17,Inventory!$I$2:$I$319,$B17,Inventory!$J$2:$J$319,$C17,Inventory!$O$2:$O$319,"Listed"))</x:f>
        <x:v>17395</x:v>
      </x:c>
    </x:row>
    <x:row r="18">
      <x:c r="A18" s="48" t="str">
        <x:v>Used</x:v>
      </x:c>
      <x:c r="B18" s="49" t="str">
        <x:v>Honda</x:v>
      </x:c>
      <x:c r="C18" s="49" t="str">
        <x:v>Civic</x:v>
      </x:c>
      <x:c r="D18" s="249" t="n">
        <x:f>COUNTIFS(Inventory!$G$2:$G$319,$A18,Inventory!$I$2:$I$319,$B18,Inventory!$J$2:$J$319,$C18)</x:f>
        <x:v>5</x:v>
      </x:c>
      <x:c r="E18" s="249" t="n">
        <x:f>COUNTIFS(Inventory!$G$2:$G$319,$A18,Inventory!$I$2:$I$319,$B18,Inventory!$J$2:$J$319,$C18,Inventory!$O$2:$O$319,"Listed")</x:f>
        <x:v>0</x:v>
      </x:c>
      <x:c r="F18" s="249" t="n">
        <x:f>COUNTIFS(Inventory!$G$2:$G$319,$A18,Inventory!$I$2:$I$319,$B18,Inventory!$J$2:$J$319,$C18,Inventory!$O$2:$O$319,"Price not exposed")</x:f>
        <x:v>5</x:v>
      </x:c>
      <x:c r="G18" s="257" t="str">
        <x:f>IF(E18=0,"",SUMIFS(Inventory!$N$2:$N$319,Inventory!$G$2:$G$319,$A18,Inventory!$I$2:$I$319,$B18,Inventory!$J$2:$J$319,$C18,Inventory!$O$2:$O$319,"Listed")/E18)</x:f>
      </x:c>
      <x:c r="H18" s="257" t="str">
        <x:f>IF(E18=0,"",MINIFS(Inventory!$N$2:$N$319,Inventory!$G$2:$G$319,$A18,Inventory!$I$2:$I$319,$B18,Inventory!$J$2:$J$319,$C18,Inventory!$O$2:$O$319,"Listed"))</x:f>
      </x:c>
      <x:c r="I18" s="269" t="str">
        <x:f>IF(E18=0,"",MAXIFS(Inventory!$N$2:$N$319,Inventory!$G$2:$G$319,$A18,Inventory!$I$2:$I$319,$B18,Inventory!$J$2:$J$319,$C18,Inventory!$O$2:$O$319,"Listed"))</x:f>
      </x:c>
    </x:row>
    <x:row r="19">
      <x:c r="A19" s="48" t="str">
        <x:v>Used</x:v>
      </x:c>
      <x:c r="B19" s="49" t="str">
        <x:v>BMW</x:v>
      </x:c>
      <x:c r="C19" s="49" t="str">
        <x:v>X3</x:v>
      </x:c>
      <x:c r="D19" s="249" t="n">
        <x:f>COUNTIFS(Inventory!$G$2:$G$319,$A19,Inventory!$I$2:$I$319,$B19,Inventory!$J$2:$J$319,$C19)</x:f>
        <x:v>4</x:v>
      </x:c>
      <x:c r="E19" s="249" t="n">
        <x:f>COUNTIFS(Inventory!$G$2:$G$319,$A19,Inventory!$I$2:$I$319,$B19,Inventory!$J$2:$J$319,$C19,Inventory!$O$2:$O$319,"Listed")</x:f>
        <x:v>1</x:v>
      </x:c>
      <x:c r="F19" s="249" t="n">
        <x:f>COUNTIFS(Inventory!$G$2:$G$319,$A19,Inventory!$I$2:$I$319,$B19,Inventory!$J$2:$J$319,$C19,Inventory!$O$2:$O$319,"Price not exposed")</x:f>
        <x:v>3</x:v>
      </x:c>
      <x:c r="G19" s="257" t="n">
        <x:f>IF(E19=0,"",SUMIFS(Inventory!$N$2:$N$319,Inventory!$G$2:$G$319,$A19,Inventory!$I$2:$I$319,$B19,Inventory!$J$2:$J$319,$C19,Inventory!$O$2:$O$319,"Listed")/E19)</x:f>
        <x:v>17395</x:v>
      </x:c>
      <x:c r="H19" s="257" t="n">
        <x:f>IF(E19=0,"",MINIFS(Inventory!$N$2:$N$319,Inventory!$G$2:$G$319,$A19,Inventory!$I$2:$I$319,$B19,Inventory!$J$2:$J$319,$C19,Inventory!$O$2:$O$319,"Listed"))</x:f>
        <x:v>17395</x:v>
      </x:c>
      <x:c r="I19" s="269" t="n">
        <x:f>IF(E19=0,"",MAXIFS(Inventory!$N$2:$N$319,Inventory!$G$2:$G$319,$A19,Inventory!$I$2:$I$319,$B19,Inventory!$J$2:$J$319,$C19,Inventory!$O$2:$O$319,"Listed"))</x:f>
        <x:v>17395</x:v>
      </x:c>
    </x:row>
    <x:row r="20">
      <x:c r="A20" s="48" t="str">
        <x:v>Used</x:v>
      </x:c>
      <x:c r="B20" s="49" t="str">
        <x:v>Buick</x:v>
      </x:c>
      <x:c r="C20" s="49" t="str">
        <x:v>Encore</x:v>
      </x:c>
      <x:c r="D20" s="249" t="n">
        <x:f>COUNTIFS(Inventory!$G$2:$G$319,$A20,Inventory!$I$2:$I$319,$B20,Inventory!$J$2:$J$319,$C20)</x:f>
        <x:v>4</x:v>
      </x:c>
      <x:c r="E20" s="249" t="n">
        <x:f>COUNTIFS(Inventory!$G$2:$G$319,$A20,Inventory!$I$2:$I$319,$B20,Inventory!$J$2:$J$319,$C20,Inventory!$O$2:$O$319,"Listed")</x:f>
        <x:v>1</x:v>
      </x:c>
      <x:c r="F20" s="249" t="n">
        <x:f>COUNTIFS(Inventory!$G$2:$G$319,$A20,Inventory!$I$2:$I$319,$B20,Inventory!$J$2:$J$319,$C20,Inventory!$O$2:$O$319,"Price not exposed")</x:f>
        <x:v>3</x:v>
      </x:c>
      <x:c r="G20" s="257" t="n">
        <x:f>IF(E20=0,"",SUMIFS(Inventory!$N$2:$N$319,Inventory!$G$2:$G$319,$A20,Inventory!$I$2:$I$319,$B20,Inventory!$J$2:$J$319,$C20,Inventory!$O$2:$O$319,"Listed")/E20)</x:f>
        <x:v>8695</x:v>
      </x:c>
      <x:c r="H20" s="257" t="n">
        <x:f>IF(E20=0,"",MINIFS(Inventory!$N$2:$N$319,Inventory!$G$2:$G$319,$A20,Inventory!$I$2:$I$319,$B20,Inventory!$J$2:$J$319,$C20,Inventory!$O$2:$O$319,"Listed"))</x:f>
        <x:v>8695</x:v>
      </x:c>
      <x:c r="I20" s="269" t="n">
        <x:f>IF(E20=0,"",MAXIFS(Inventory!$N$2:$N$319,Inventory!$G$2:$G$319,$A20,Inventory!$I$2:$I$319,$B20,Inventory!$J$2:$J$319,$C20,Inventory!$O$2:$O$319,"Listed"))</x:f>
        <x:v>8695</x:v>
      </x:c>
    </x:row>
    <x:row r="21">
      <x:c r="A21" s="48" t="str">
        <x:v>Used</x:v>
      </x:c>
      <x:c r="B21" s="49" t="str">
        <x:v>Chevrolet</x:v>
      </x:c>
      <x:c r="C21" s="49" t="str">
        <x:v>Malibu</x:v>
      </x:c>
      <x:c r="D21" s="249" t="n">
        <x:f>COUNTIFS(Inventory!$G$2:$G$319,$A21,Inventory!$I$2:$I$319,$B21,Inventory!$J$2:$J$319,$C21)</x:f>
        <x:v>4</x:v>
      </x:c>
      <x:c r="E21" s="249" t="n">
        <x:f>COUNTIFS(Inventory!$G$2:$G$319,$A21,Inventory!$I$2:$I$319,$B21,Inventory!$J$2:$J$319,$C21,Inventory!$O$2:$O$319,"Listed")</x:f>
        <x:v>0</x:v>
      </x:c>
      <x:c r="F21" s="249" t="n">
        <x:f>COUNTIFS(Inventory!$G$2:$G$319,$A21,Inventory!$I$2:$I$319,$B21,Inventory!$J$2:$J$319,$C21,Inventory!$O$2:$O$319,"Price not exposed")</x:f>
        <x:v>4</x:v>
      </x:c>
      <x:c r="G21" s="257" t="str">
        <x:f>IF(E21=0,"",SUMIFS(Inventory!$N$2:$N$319,Inventory!$G$2:$G$319,$A21,Inventory!$I$2:$I$319,$B21,Inventory!$J$2:$J$319,$C21,Inventory!$O$2:$O$319,"Listed")/E21)</x:f>
      </x:c>
      <x:c r="H21" s="257" t="str">
        <x:f>IF(E21=0,"",MINIFS(Inventory!$N$2:$N$319,Inventory!$G$2:$G$319,$A21,Inventory!$I$2:$I$319,$B21,Inventory!$J$2:$J$319,$C21,Inventory!$O$2:$O$319,"Listed"))</x:f>
      </x:c>
      <x:c r="I21" s="269" t="str">
        <x:f>IF(E21=0,"",MAXIFS(Inventory!$N$2:$N$319,Inventory!$G$2:$G$319,$A21,Inventory!$I$2:$I$319,$B21,Inventory!$J$2:$J$319,$C21,Inventory!$O$2:$O$319,"Listed"))</x:f>
      </x:c>
    </x:row>
    <x:row r="22">
      <x:c r="A22" s="48" t="str">
        <x:v>Used</x:v>
      </x:c>
      <x:c r="B22" s="49" t="str">
        <x:v>Honda</x:v>
      </x:c>
      <x:c r="C22" s="49" t="str">
        <x:v>CR-V</x:v>
      </x:c>
      <x:c r="D22" s="249" t="n">
        <x:f>COUNTIFS(Inventory!$G$2:$G$319,$A22,Inventory!$I$2:$I$319,$B22,Inventory!$J$2:$J$319,$C22)</x:f>
        <x:v>4</x:v>
      </x:c>
      <x:c r="E22" s="249" t="n">
        <x:f>COUNTIFS(Inventory!$G$2:$G$319,$A22,Inventory!$I$2:$I$319,$B22,Inventory!$J$2:$J$319,$C22,Inventory!$O$2:$O$319,"Listed")</x:f>
        <x:v>0</x:v>
      </x:c>
      <x:c r="F22" s="249" t="n">
        <x:f>COUNTIFS(Inventory!$G$2:$G$319,$A22,Inventory!$I$2:$I$319,$B22,Inventory!$J$2:$J$319,$C22,Inventory!$O$2:$O$319,"Price not exposed")</x:f>
        <x:v>4</x:v>
      </x:c>
      <x:c r="G22" s="257" t="str">
        <x:f>IF(E22=0,"",SUMIFS(Inventory!$N$2:$N$319,Inventory!$G$2:$G$319,$A22,Inventory!$I$2:$I$319,$B22,Inventory!$J$2:$J$319,$C22,Inventory!$O$2:$O$319,"Listed")/E22)</x:f>
      </x:c>
      <x:c r="H22" s="257" t="str">
        <x:f>IF(E22=0,"",MINIFS(Inventory!$N$2:$N$319,Inventory!$G$2:$G$319,$A22,Inventory!$I$2:$I$319,$B22,Inventory!$J$2:$J$319,$C22,Inventory!$O$2:$O$319,"Listed"))</x:f>
      </x:c>
      <x:c r="I22" s="269" t="str">
        <x:f>IF(E22=0,"",MAXIFS(Inventory!$N$2:$N$319,Inventory!$G$2:$G$319,$A22,Inventory!$I$2:$I$319,$B22,Inventory!$J$2:$J$319,$C22,Inventory!$O$2:$O$319,"Listed"))</x:f>
      </x:c>
    </x:row>
    <x:row r="23">
      <x:c r="A23" s="48" t="str">
        <x:v>Used</x:v>
      </x:c>
      <x:c r="B23" s="49" t="str">
        <x:v>Jeep</x:v>
      </x:c>
      <x:c r="C23" s="49" t="str">
        <x:v>Cherokee</x:v>
      </x:c>
      <x:c r="D23" s="249" t="n">
        <x:f>COUNTIFS(Inventory!$G$2:$G$319,$A23,Inventory!$I$2:$I$319,$B23,Inventory!$J$2:$J$319,$C23)</x:f>
        <x:v>4</x:v>
      </x:c>
      <x:c r="E23" s="249" t="n">
        <x:f>COUNTIFS(Inventory!$G$2:$G$319,$A23,Inventory!$I$2:$I$319,$B23,Inventory!$J$2:$J$319,$C23,Inventory!$O$2:$O$319,"Listed")</x:f>
        <x:v>1</x:v>
      </x:c>
      <x:c r="F23" s="249" t="n">
        <x:f>COUNTIFS(Inventory!$G$2:$G$319,$A23,Inventory!$I$2:$I$319,$B23,Inventory!$J$2:$J$319,$C23,Inventory!$O$2:$O$319,"Price not exposed")</x:f>
        <x:v>3</x:v>
      </x:c>
      <x:c r="G23" s="257" t="n">
        <x:f>IF(E23=0,"",SUMIFS(Inventory!$N$2:$N$319,Inventory!$G$2:$G$319,$A23,Inventory!$I$2:$I$319,$B23,Inventory!$J$2:$J$319,$C23,Inventory!$O$2:$O$319,"Listed")/E23)</x:f>
        <x:v>13995</x:v>
      </x:c>
      <x:c r="H23" s="257" t="n">
        <x:f>IF(E23=0,"",MINIFS(Inventory!$N$2:$N$319,Inventory!$G$2:$G$319,$A23,Inventory!$I$2:$I$319,$B23,Inventory!$J$2:$J$319,$C23,Inventory!$O$2:$O$319,"Listed"))</x:f>
        <x:v>13995</x:v>
      </x:c>
      <x:c r="I23" s="269" t="n">
        <x:f>IF(E23=0,"",MAXIFS(Inventory!$N$2:$N$319,Inventory!$G$2:$G$319,$A23,Inventory!$I$2:$I$319,$B23,Inventory!$J$2:$J$319,$C23,Inventory!$O$2:$O$319,"Listed"))</x:f>
        <x:v>13995</x:v>
      </x:c>
    </x:row>
    <x:row r="24">
      <x:c r="A24" s="48" t="str">
        <x:v>Used</x:v>
      </x:c>
      <x:c r="B24" s="49" t="str">
        <x:v>Jeep</x:v>
      </x:c>
      <x:c r="C24" s="49" t="str">
        <x:v>Wrangler Unlimited</x:v>
      </x:c>
      <x:c r="D24" s="249" t="n">
        <x:f>COUNTIFS(Inventory!$G$2:$G$319,$A24,Inventory!$I$2:$I$319,$B24,Inventory!$J$2:$J$319,$C24)</x:f>
        <x:v>4</x:v>
      </x:c>
      <x:c r="E24" s="249" t="n">
        <x:f>COUNTIFS(Inventory!$G$2:$G$319,$A24,Inventory!$I$2:$I$319,$B24,Inventory!$J$2:$J$319,$C24,Inventory!$O$2:$O$319,"Listed")</x:f>
        <x:v>0</x:v>
      </x:c>
      <x:c r="F24" s="249" t="n">
        <x:f>COUNTIFS(Inventory!$G$2:$G$319,$A24,Inventory!$I$2:$I$319,$B24,Inventory!$J$2:$J$319,$C24,Inventory!$O$2:$O$319,"Price not exposed")</x:f>
        <x:v>4</x:v>
      </x:c>
      <x:c r="G24" s="257" t="str">
        <x:f>IF(E24=0,"",SUMIFS(Inventory!$N$2:$N$319,Inventory!$G$2:$G$319,$A24,Inventory!$I$2:$I$319,$B24,Inventory!$J$2:$J$319,$C24,Inventory!$O$2:$O$319,"Listed")/E24)</x:f>
      </x:c>
      <x:c r="H24" s="257" t="str">
        <x:f>IF(E24=0,"",MINIFS(Inventory!$N$2:$N$319,Inventory!$G$2:$G$319,$A24,Inventory!$I$2:$I$319,$B24,Inventory!$J$2:$J$319,$C24,Inventory!$O$2:$O$319,"Listed"))</x:f>
      </x:c>
      <x:c r="I24" s="269" t="str">
        <x:f>IF(E24=0,"",MAXIFS(Inventory!$N$2:$N$319,Inventory!$G$2:$G$319,$A24,Inventory!$I$2:$I$319,$B24,Inventory!$J$2:$J$319,$C24,Inventory!$O$2:$O$319,"Listed"))</x:f>
      </x:c>
    </x:row>
    <x:row r="25">
      <x:c r="A25" s="48" t="str">
        <x:v>Used</x:v>
      </x:c>
      <x:c r="B25" s="49" t="str">
        <x:v>Mazda</x:v>
      </x:c>
      <x:c r="C25" s="49" t="str">
        <x:v>CX-5</x:v>
      </x:c>
      <x:c r="D25" s="249" t="n">
        <x:f>COUNTIFS(Inventory!$G$2:$G$319,$A25,Inventory!$I$2:$I$319,$B25,Inventory!$J$2:$J$319,$C25)</x:f>
        <x:v>4</x:v>
      </x:c>
      <x:c r="E25" s="249" t="n">
        <x:f>COUNTIFS(Inventory!$G$2:$G$319,$A25,Inventory!$I$2:$I$319,$B25,Inventory!$J$2:$J$319,$C25,Inventory!$O$2:$O$319,"Listed")</x:f>
        <x:v>0</x:v>
      </x:c>
      <x:c r="F25" s="249" t="n">
        <x:f>COUNTIFS(Inventory!$G$2:$G$319,$A25,Inventory!$I$2:$I$319,$B25,Inventory!$J$2:$J$319,$C25,Inventory!$O$2:$O$319,"Price not exposed")</x:f>
        <x:v>4</x:v>
      </x:c>
      <x:c r="G25" s="257" t="str">
        <x:f>IF(E25=0,"",SUMIFS(Inventory!$N$2:$N$319,Inventory!$G$2:$G$319,$A25,Inventory!$I$2:$I$319,$B25,Inventory!$J$2:$J$319,$C25,Inventory!$O$2:$O$319,"Listed")/E25)</x:f>
      </x:c>
      <x:c r="H25" s="257" t="str">
        <x:f>IF(E25=0,"",MINIFS(Inventory!$N$2:$N$319,Inventory!$G$2:$G$319,$A25,Inventory!$I$2:$I$319,$B25,Inventory!$J$2:$J$319,$C25,Inventory!$O$2:$O$319,"Listed"))</x:f>
      </x:c>
      <x:c r="I25" s="269" t="str">
        <x:f>IF(E25=0,"",MAXIFS(Inventory!$N$2:$N$319,Inventory!$G$2:$G$319,$A25,Inventory!$I$2:$I$319,$B25,Inventory!$J$2:$J$319,$C25,Inventory!$O$2:$O$319,"Listed"))</x:f>
      </x:c>
    </x:row>
    <x:row r="26">
      <x:c r="A26" s="48" t="str">
        <x:v>Used</x:v>
      </x:c>
      <x:c r="B26" s="49" t="str">
        <x:v>Nissan</x:v>
      </x:c>
      <x:c r="C26" s="49" t="str">
        <x:v>Sentra</x:v>
      </x:c>
      <x:c r="D26" s="249" t="n">
        <x:f>COUNTIFS(Inventory!$G$2:$G$319,$A26,Inventory!$I$2:$I$319,$B26,Inventory!$J$2:$J$319,$C26)</x:f>
        <x:v>4</x:v>
      </x:c>
      <x:c r="E26" s="249" t="n">
        <x:f>COUNTIFS(Inventory!$G$2:$G$319,$A26,Inventory!$I$2:$I$319,$B26,Inventory!$J$2:$J$319,$C26,Inventory!$O$2:$O$319,"Listed")</x:f>
        <x:v>1</x:v>
      </x:c>
      <x:c r="F26" s="249" t="n">
        <x:f>COUNTIFS(Inventory!$G$2:$G$319,$A26,Inventory!$I$2:$I$319,$B26,Inventory!$J$2:$J$319,$C26,Inventory!$O$2:$O$319,"Price not exposed")</x:f>
        <x:v>3</x:v>
      </x:c>
      <x:c r="G26" s="257" t="n">
        <x:f>IF(E26=0,"",SUMIFS(Inventory!$N$2:$N$319,Inventory!$G$2:$G$319,$A26,Inventory!$I$2:$I$319,$B26,Inventory!$J$2:$J$319,$C26,Inventory!$O$2:$O$319,"Listed")/E26)</x:f>
        <x:v>16395</x:v>
      </x:c>
      <x:c r="H26" s="257" t="n">
        <x:f>IF(E26=0,"",MINIFS(Inventory!$N$2:$N$319,Inventory!$G$2:$G$319,$A26,Inventory!$I$2:$I$319,$B26,Inventory!$J$2:$J$319,$C26,Inventory!$O$2:$O$319,"Listed"))</x:f>
        <x:v>16395</x:v>
      </x:c>
      <x:c r="I26" s="269" t="n">
        <x:f>IF(E26=0,"",MAXIFS(Inventory!$N$2:$N$319,Inventory!$G$2:$G$319,$A26,Inventory!$I$2:$I$319,$B26,Inventory!$J$2:$J$319,$C26,Inventory!$O$2:$O$319,"Listed"))</x:f>
        <x:v>16395</x:v>
      </x:c>
    </x:row>
    <x:row r="27">
      <x:c r="A27" s="48" t="str">
        <x:v>Used</x:v>
      </x:c>
      <x:c r="B27" s="49" t="str">
        <x:v>Subaru</x:v>
      </x:c>
      <x:c r="C27" s="49" t="str">
        <x:v>Crosstrek</x:v>
      </x:c>
      <x:c r="D27" s="249" t="n">
        <x:f>COUNTIFS(Inventory!$G$2:$G$319,$A27,Inventory!$I$2:$I$319,$B27,Inventory!$J$2:$J$319,$C27)</x:f>
        <x:v>4</x:v>
      </x:c>
      <x:c r="E27" s="249" t="n">
        <x:f>COUNTIFS(Inventory!$G$2:$G$319,$A27,Inventory!$I$2:$I$319,$B27,Inventory!$J$2:$J$319,$C27,Inventory!$O$2:$O$319,"Listed")</x:f>
        <x:v>0</x:v>
      </x:c>
      <x:c r="F27" s="249" t="n">
        <x:f>COUNTIFS(Inventory!$G$2:$G$319,$A27,Inventory!$I$2:$I$319,$B27,Inventory!$J$2:$J$319,$C27,Inventory!$O$2:$O$319,"Price not exposed")</x:f>
        <x:v>4</x:v>
      </x:c>
      <x:c r="G27" s="257" t="str">
        <x:f>IF(E27=0,"",SUMIFS(Inventory!$N$2:$N$319,Inventory!$G$2:$G$319,$A27,Inventory!$I$2:$I$319,$B27,Inventory!$J$2:$J$319,$C27,Inventory!$O$2:$O$319,"Listed")/E27)</x:f>
      </x:c>
      <x:c r="H27" s="257" t="str">
        <x:f>IF(E27=0,"",MINIFS(Inventory!$N$2:$N$319,Inventory!$G$2:$G$319,$A27,Inventory!$I$2:$I$319,$B27,Inventory!$J$2:$J$319,$C27,Inventory!$O$2:$O$319,"Listed"))</x:f>
      </x:c>
      <x:c r="I27" s="269" t="str">
        <x:f>IF(E27=0,"",MAXIFS(Inventory!$N$2:$N$319,Inventory!$G$2:$G$319,$A27,Inventory!$I$2:$I$319,$B27,Inventory!$J$2:$J$319,$C27,Inventory!$O$2:$O$319,"Listed"))</x:f>
      </x:c>
    </x:row>
    <x:row r="28">
      <x:c r="A28" s="48" t="str">
        <x:v>Used</x:v>
      </x:c>
      <x:c r="B28" s="49" t="str">
        <x:v>Audi</x:v>
      </x:c>
      <x:c r="C28" s="49" t="str">
        <x:v>Q7</x:v>
      </x:c>
      <x:c r="D28" s="249" t="n">
        <x:f>COUNTIFS(Inventory!$G$2:$G$319,$A28,Inventory!$I$2:$I$319,$B28,Inventory!$J$2:$J$319,$C28)</x:f>
        <x:v>3</x:v>
      </x:c>
      <x:c r="E28" s="249" t="n">
        <x:f>COUNTIFS(Inventory!$G$2:$G$319,$A28,Inventory!$I$2:$I$319,$B28,Inventory!$J$2:$J$319,$C28,Inventory!$O$2:$O$319,"Listed")</x:f>
        <x:v>0</x:v>
      </x:c>
      <x:c r="F28" s="249" t="n">
        <x:f>COUNTIFS(Inventory!$G$2:$G$319,$A28,Inventory!$I$2:$I$319,$B28,Inventory!$J$2:$J$319,$C28,Inventory!$O$2:$O$319,"Price not exposed")</x:f>
        <x:v>3</x:v>
      </x:c>
      <x:c r="G28" s="257" t="str">
        <x:f>IF(E28=0,"",SUMIFS(Inventory!$N$2:$N$319,Inventory!$G$2:$G$319,$A28,Inventory!$I$2:$I$319,$B28,Inventory!$J$2:$J$319,$C28,Inventory!$O$2:$O$319,"Listed")/E28)</x:f>
      </x:c>
      <x:c r="H28" s="257" t="str">
        <x:f>IF(E28=0,"",MINIFS(Inventory!$N$2:$N$319,Inventory!$G$2:$G$319,$A28,Inventory!$I$2:$I$319,$B28,Inventory!$J$2:$J$319,$C28,Inventory!$O$2:$O$319,"Listed"))</x:f>
      </x:c>
      <x:c r="I28" s="269" t="str">
        <x:f>IF(E28=0,"",MAXIFS(Inventory!$N$2:$N$319,Inventory!$G$2:$G$319,$A28,Inventory!$I$2:$I$319,$B28,Inventory!$J$2:$J$319,$C28,Inventory!$O$2:$O$319,"Listed"))</x:f>
      </x:c>
    </x:row>
    <x:row r="29">
      <x:c r="A29" s="48" t="str">
        <x:v>Used</x:v>
      </x:c>
      <x:c r="B29" s="49" t="str">
        <x:v>BMW</x:v>
      </x:c>
      <x:c r="C29" s="49" t="str">
        <x:v>X1</x:v>
      </x:c>
      <x:c r="D29" s="249" t="n">
        <x:f>COUNTIFS(Inventory!$G$2:$G$319,$A29,Inventory!$I$2:$I$319,$B29,Inventory!$J$2:$J$319,$C29)</x:f>
        <x:v>3</x:v>
      </x:c>
      <x:c r="E29" s="249" t="n">
        <x:f>COUNTIFS(Inventory!$G$2:$G$319,$A29,Inventory!$I$2:$I$319,$B29,Inventory!$J$2:$J$319,$C29,Inventory!$O$2:$O$319,"Listed")</x:f>
        <x:v>0</x:v>
      </x:c>
      <x:c r="F29" s="249" t="n">
        <x:f>COUNTIFS(Inventory!$G$2:$G$319,$A29,Inventory!$I$2:$I$319,$B29,Inventory!$J$2:$J$319,$C29,Inventory!$O$2:$O$319,"Price not exposed")</x:f>
        <x:v>3</x:v>
      </x:c>
      <x:c r="G29" s="257" t="str">
        <x:f>IF(E29=0,"",SUMIFS(Inventory!$N$2:$N$319,Inventory!$G$2:$G$319,$A29,Inventory!$I$2:$I$319,$B29,Inventory!$J$2:$J$319,$C29,Inventory!$O$2:$O$319,"Listed")/E29)</x:f>
      </x:c>
      <x:c r="H29" s="257" t="str">
        <x:f>IF(E29=0,"",MINIFS(Inventory!$N$2:$N$319,Inventory!$G$2:$G$319,$A29,Inventory!$I$2:$I$319,$B29,Inventory!$J$2:$J$319,$C29,Inventory!$O$2:$O$319,"Listed"))</x:f>
      </x:c>
      <x:c r="I29" s="269" t="str">
        <x:f>IF(E29=0,"",MAXIFS(Inventory!$N$2:$N$319,Inventory!$G$2:$G$319,$A29,Inventory!$I$2:$I$319,$B29,Inventory!$J$2:$J$319,$C29,Inventory!$O$2:$O$319,"Listed"))</x:f>
      </x:c>
    </x:row>
    <x:row r="30">
      <x:c r="A30" s="48" t="str">
        <x:v>Used</x:v>
      </x:c>
      <x:c r="B30" s="49" t="str">
        <x:v>GMC</x:v>
      </x:c>
      <x:c r="C30" s="49" t="str">
        <x:v>Acadia</x:v>
      </x:c>
      <x:c r="D30" s="249" t="n">
        <x:f>COUNTIFS(Inventory!$G$2:$G$319,$A30,Inventory!$I$2:$I$319,$B30,Inventory!$J$2:$J$319,$C30)</x:f>
        <x:v>3</x:v>
      </x:c>
      <x:c r="E30" s="249" t="n">
        <x:f>COUNTIFS(Inventory!$G$2:$G$319,$A30,Inventory!$I$2:$I$319,$B30,Inventory!$J$2:$J$319,$C30,Inventory!$O$2:$O$319,"Listed")</x:f>
        <x:v>0</x:v>
      </x:c>
      <x:c r="F30" s="249" t="n">
        <x:f>COUNTIFS(Inventory!$G$2:$G$319,$A30,Inventory!$I$2:$I$319,$B30,Inventory!$J$2:$J$319,$C30,Inventory!$O$2:$O$319,"Price not exposed")</x:f>
        <x:v>3</x:v>
      </x:c>
      <x:c r="G30" s="257" t="str">
        <x:f>IF(E30=0,"",SUMIFS(Inventory!$N$2:$N$319,Inventory!$G$2:$G$319,$A30,Inventory!$I$2:$I$319,$B30,Inventory!$J$2:$J$319,$C30,Inventory!$O$2:$O$319,"Listed")/E30)</x:f>
      </x:c>
      <x:c r="H30" s="257" t="str">
        <x:f>IF(E30=0,"",MINIFS(Inventory!$N$2:$N$319,Inventory!$G$2:$G$319,$A30,Inventory!$I$2:$I$319,$B30,Inventory!$J$2:$J$319,$C30,Inventory!$O$2:$O$319,"Listed"))</x:f>
      </x:c>
      <x:c r="I30" s="269" t="str">
        <x:f>IF(E30=0,"",MAXIFS(Inventory!$N$2:$N$319,Inventory!$G$2:$G$319,$A30,Inventory!$I$2:$I$319,$B30,Inventory!$J$2:$J$319,$C30,Inventory!$O$2:$O$319,"Listed"))</x:f>
      </x:c>
    </x:row>
    <x:row r="31">
      <x:c r="A31" s="48" t="str">
        <x:v>Used</x:v>
      </x:c>
      <x:c r="B31" s="49" t="str">
        <x:v>GMC</x:v>
      </x:c>
      <x:c r="C31" s="49" t="str">
        <x:v>Sierra 2500HD</x:v>
      </x:c>
      <x:c r="D31" s="249" t="n">
        <x:f>COUNTIFS(Inventory!$G$2:$G$319,$A31,Inventory!$I$2:$I$319,$B31,Inventory!$J$2:$J$319,$C31)</x:f>
        <x:v>3</x:v>
      </x:c>
      <x:c r="E31" s="249" t="n">
        <x:f>COUNTIFS(Inventory!$G$2:$G$319,$A31,Inventory!$I$2:$I$319,$B31,Inventory!$J$2:$J$319,$C31,Inventory!$O$2:$O$319,"Listed")</x:f>
        <x:v>0</x:v>
      </x:c>
      <x:c r="F31" s="249" t="n">
        <x:f>COUNTIFS(Inventory!$G$2:$G$319,$A31,Inventory!$I$2:$I$319,$B31,Inventory!$J$2:$J$319,$C31,Inventory!$O$2:$O$319,"Price not exposed")</x:f>
        <x:v>3</x:v>
      </x:c>
      <x:c r="G31" s="257" t="str">
        <x:f>IF(E31=0,"",SUMIFS(Inventory!$N$2:$N$319,Inventory!$G$2:$G$319,$A31,Inventory!$I$2:$I$319,$B31,Inventory!$J$2:$J$319,$C31,Inventory!$O$2:$O$319,"Listed")/E31)</x:f>
      </x:c>
      <x:c r="H31" s="257" t="str">
        <x:f>IF(E31=0,"",MINIFS(Inventory!$N$2:$N$319,Inventory!$G$2:$G$319,$A31,Inventory!$I$2:$I$319,$B31,Inventory!$J$2:$J$319,$C31,Inventory!$O$2:$O$319,"Listed"))</x:f>
      </x:c>
      <x:c r="I31" s="269" t="str">
        <x:f>IF(E31=0,"",MAXIFS(Inventory!$N$2:$N$319,Inventory!$G$2:$G$319,$A31,Inventory!$I$2:$I$319,$B31,Inventory!$J$2:$J$319,$C31,Inventory!$O$2:$O$319,"Listed"))</x:f>
      </x:c>
    </x:row>
    <x:row r="32">
      <x:c r="A32" s="48" t="str">
        <x:v>Used</x:v>
      </x:c>
      <x:c r="B32" s="49" t="str">
        <x:v>Honda</x:v>
      </x:c>
      <x:c r="C32" s="49" t="str">
        <x:v>HR-V</x:v>
      </x:c>
      <x:c r="D32" s="249" t="n">
        <x:f>COUNTIFS(Inventory!$G$2:$G$319,$A32,Inventory!$I$2:$I$319,$B32,Inventory!$J$2:$J$319,$C32)</x:f>
        <x:v>3</x:v>
      </x:c>
      <x:c r="E32" s="249" t="n">
        <x:f>COUNTIFS(Inventory!$G$2:$G$319,$A32,Inventory!$I$2:$I$319,$B32,Inventory!$J$2:$J$319,$C32,Inventory!$O$2:$O$319,"Listed")</x:f>
        <x:v>0</x:v>
      </x:c>
      <x:c r="F32" s="249" t="n">
        <x:f>COUNTIFS(Inventory!$G$2:$G$319,$A32,Inventory!$I$2:$I$319,$B32,Inventory!$J$2:$J$319,$C32,Inventory!$O$2:$O$319,"Price not exposed")</x:f>
        <x:v>3</x:v>
      </x:c>
      <x:c r="G32" s="257" t="str">
        <x:f>IF(E32=0,"",SUMIFS(Inventory!$N$2:$N$319,Inventory!$G$2:$G$319,$A32,Inventory!$I$2:$I$319,$B32,Inventory!$J$2:$J$319,$C32,Inventory!$O$2:$O$319,"Listed")/E32)</x:f>
      </x:c>
      <x:c r="H32" s="257" t="str">
        <x:f>IF(E32=0,"",MINIFS(Inventory!$N$2:$N$319,Inventory!$G$2:$G$319,$A32,Inventory!$I$2:$I$319,$B32,Inventory!$J$2:$J$319,$C32,Inventory!$O$2:$O$319,"Listed"))</x:f>
      </x:c>
      <x:c r="I32" s="269" t="str">
        <x:f>IF(E32=0,"",MAXIFS(Inventory!$N$2:$N$319,Inventory!$G$2:$G$319,$A32,Inventory!$I$2:$I$319,$B32,Inventory!$J$2:$J$319,$C32,Inventory!$O$2:$O$319,"Listed"))</x:f>
      </x:c>
    </x:row>
    <x:row r="33">
      <x:c r="A33" s="48" t="str">
        <x:v>Used</x:v>
      </x:c>
      <x:c r="B33" s="49" t="str">
        <x:v>Hyundai</x:v>
      </x:c>
      <x:c r="C33" s="49" t="str">
        <x:v>Tucson</x:v>
      </x:c>
      <x:c r="D33" s="249" t="n">
        <x:f>COUNTIFS(Inventory!$G$2:$G$319,$A33,Inventory!$I$2:$I$319,$B33,Inventory!$J$2:$J$319,$C33)</x:f>
        <x:v>3</x:v>
      </x:c>
      <x:c r="E33" s="249" t="n">
        <x:f>COUNTIFS(Inventory!$G$2:$G$319,$A33,Inventory!$I$2:$I$319,$B33,Inventory!$J$2:$J$319,$C33,Inventory!$O$2:$O$319,"Listed")</x:f>
        <x:v>0</x:v>
      </x:c>
      <x:c r="F33" s="249" t="n">
        <x:f>COUNTIFS(Inventory!$G$2:$G$319,$A33,Inventory!$I$2:$I$319,$B33,Inventory!$J$2:$J$319,$C33,Inventory!$O$2:$O$319,"Price not exposed")</x:f>
        <x:v>3</x:v>
      </x:c>
      <x:c r="G33" s="257" t="str">
        <x:f>IF(E33=0,"",SUMIFS(Inventory!$N$2:$N$319,Inventory!$G$2:$G$319,$A33,Inventory!$I$2:$I$319,$B33,Inventory!$J$2:$J$319,$C33,Inventory!$O$2:$O$319,"Listed")/E33)</x:f>
      </x:c>
      <x:c r="H33" s="257" t="str">
        <x:f>IF(E33=0,"",MINIFS(Inventory!$N$2:$N$319,Inventory!$G$2:$G$319,$A33,Inventory!$I$2:$I$319,$B33,Inventory!$J$2:$J$319,$C33,Inventory!$O$2:$O$319,"Listed"))</x:f>
      </x:c>
      <x:c r="I33" s="269" t="str">
        <x:f>IF(E33=0,"",MAXIFS(Inventory!$N$2:$N$319,Inventory!$G$2:$G$319,$A33,Inventory!$I$2:$I$319,$B33,Inventory!$J$2:$J$319,$C33,Inventory!$O$2:$O$319,"Listed"))</x:f>
      </x:c>
    </x:row>
    <x:row r="34">
      <x:c r="A34" s="48" t="str">
        <x:v>Used</x:v>
      </x:c>
      <x:c r="B34" s="49" t="str">
        <x:v>Kia</x:v>
      </x:c>
      <x:c r="C34" s="49" t="str">
        <x:v>Sportage</x:v>
      </x:c>
      <x:c r="D34" s="249" t="n">
        <x:f>COUNTIFS(Inventory!$G$2:$G$319,$A34,Inventory!$I$2:$I$319,$B34,Inventory!$J$2:$J$319,$C34)</x:f>
        <x:v>3</x:v>
      </x:c>
      <x:c r="E34" s="249" t="n">
        <x:f>COUNTIFS(Inventory!$G$2:$G$319,$A34,Inventory!$I$2:$I$319,$B34,Inventory!$J$2:$J$319,$C34,Inventory!$O$2:$O$319,"Listed")</x:f>
        <x:v>2</x:v>
      </x:c>
      <x:c r="F34" s="249" t="n">
        <x:f>COUNTIFS(Inventory!$G$2:$G$319,$A34,Inventory!$I$2:$I$319,$B34,Inventory!$J$2:$J$319,$C34,Inventory!$O$2:$O$319,"Price not exposed")</x:f>
        <x:v>1</x:v>
      </x:c>
      <x:c r="G34" s="257" t="n">
        <x:f>IF(E34=0,"",SUMIFS(Inventory!$N$2:$N$319,Inventory!$G$2:$G$319,$A34,Inventory!$I$2:$I$319,$B34,Inventory!$J$2:$J$319,$C34,Inventory!$O$2:$O$319,"Listed")/E34)</x:f>
        <x:v>14695</x:v>
      </x:c>
      <x:c r="H34" s="257" t="n">
        <x:f>IF(E34=0,"",MINIFS(Inventory!$N$2:$N$319,Inventory!$G$2:$G$319,$A34,Inventory!$I$2:$I$319,$B34,Inventory!$J$2:$J$319,$C34,Inventory!$O$2:$O$319,"Listed"))</x:f>
        <x:v>12395</x:v>
      </x:c>
      <x:c r="I34" s="269" t="n">
        <x:f>IF(E34=0,"",MAXIFS(Inventory!$N$2:$N$319,Inventory!$G$2:$G$319,$A34,Inventory!$I$2:$I$319,$B34,Inventory!$J$2:$J$319,$C34,Inventory!$O$2:$O$319,"Listed"))</x:f>
        <x:v>16995</x:v>
      </x:c>
    </x:row>
    <x:row r="35">
      <x:c r="A35" s="48" t="str">
        <x:v>Used</x:v>
      </x:c>
      <x:c r="B35" s="49" t="str">
        <x:v>Mazda</x:v>
      </x:c>
      <x:c r="C35" s="49" t="str">
        <x:v>Mazda6</x:v>
      </x:c>
      <x:c r="D35" s="249" t="n">
        <x:f>COUNTIFS(Inventory!$G$2:$G$319,$A35,Inventory!$I$2:$I$319,$B35,Inventory!$J$2:$J$319,$C35)</x:f>
        <x:v>3</x:v>
      </x:c>
      <x:c r="E35" s="249" t="n">
        <x:f>COUNTIFS(Inventory!$G$2:$G$319,$A35,Inventory!$I$2:$I$319,$B35,Inventory!$J$2:$J$319,$C35,Inventory!$O$2:$O$319,"Listed")</x:f>
        <x:v>0</x:v>
      </x:c>
      <x:c r="F35" s="249" t="n">
        <x:f>COUNTIFS(Inventory!$G$2:$G$319,$A35,Inventory!$I$2:$I$319,$B35,Inventory!$J$2:$J$319,$C35,Inventory!$O$2:$O$319,"Price not exposed")</x:f>
        <x:v>3</x:v>
      </x:c>
      <x:c r="G35" s="257" t="str">
        <x:f>IF(E35=0,"",SUMIFS(Inventory!$N$2:$N$319,Inventory!$G$2:$G$319,$A35,Inventory!$I$2:$I$319,$B35,Inventory!$J$2:$J$319,$C35,Inventory!$O$2:$O$319,"Listed")/E35)</x:f>
      </x:c>
      <x:c r="H35" s="257" t="str">
        <x:f>IF(E35=0,"",MINIFS(Inventory!$N$2:$N$319,Inventory!$G$2:$G$319,$A35,Inventory!$I$2:$I$319,$B35,Inventory!$J$2:$J$319,$C35,Inventory!$O$2:$O$319,"Listed"))</x:f>
      </x:c>
      <x:c r="I35" s="269" t="str">
        <x:f>IF(E35=0,"",MAXIFS(Inventory!$N$2:$N$319,Inventory!$G$2:$G$319,$A35,Inventory!$I$2:$I$319,$B35,Inventory!$J$2:$J$319,$C35,Inventory!$O$2:$O$319,"Listed"))</x:f>
      </x:c>
    </x:row>
    <x:row r="36">
      <x:c r="A36" s="48" t="str">
        <x:v>Used</x:v>
      </x:c>
      <x:c r="B36" s="49" t="str">
        <x:v>Subaru</x:v>
      </x:c>
      <x:c r="C36" s="49" t="str">
        <x:v>Ascent</x:v>
      </x:c>
      <x:c r="D36" s="249" t="n">
        <x:f>COUNTIFS(Inventory!$G$2:$G$319,$A36,Inventory!$I$2:$I$319,$B36,Inventory!$J$2:$J$319,$C36)</x:f>
        <x:v>3</x:v>
      </x:c>
      <x:c r="E36" s="249" t="n">
        <x:f>COUNTIFS(Inventory!$G$2:$G$319,$A36,Inventory!$I$2:$I$319,$B36,Inventory!$J$2:$J$319,$C36,Inventory!$O$2:$O$319,"Listed")</x:f>
        <x:v>1</x:v>
      </x:c>
      <x:c r="F36" s="249" t="n">
        <x:f>COUNTIFS(Inventory!$G$2:$G$319,$A36,Inventory!$I$2:$I$319,$B36,Inventory!$J$2:$J$319,$C36,Inventory!$O$2:$O$319,"Price not exposed")</x:f>
        <x:v>2</x:v>
      </x:c>
      <x:c r="G36" s="257" t="n">
        <x:f>IF(E36=0,"",SUMIFS(Inventory!$N$2:$N$319,Inventory!$G$2:$G$319,$A36,Inventory!$I$2:$I$319,$B36,Inventory!$J$2:$J$319,$C36,Inventory!$O$2:$O$319,"Listed")/E36)</x:f>
        <x:v>20390</x:v>
      </x:c>
      <x:c r="H36" s="257" t="n">
        <x:f>IF(E36=0,"",MINIFS(Inventory!$N$2:$N$319,Inventory!$G$2:$G$319,$A36,Inventory!$I$2:$I$319,$B36,Inventory!$J$2:$J$319,$C36,Inventory!$O$2:$O$319,"Listed"))</x:f>
        <x:v>20390</x:v>
      </x:c>
      <x:c r="I36" s="269" t="n">
        <x:f>IF(E36=0,"",MAXIFS(Inventory!$N$2:$N$319,Inventory!$G$2:$G$319,$A36,Inventory!$I$2:$I$319,$B36,Inventory!$J$2:$J$319,$C36,Inventory!$O$2:$O$319,"Listed"))</x:f>
        <x:v>20390</x:v>
      </x:c>
    </x:row>
    <x:row r="37">
      <x:c r="A37" s="48" t="str">
        <x:v>Used</x:v>
      </x:c>
      <x:c r="B37" s="49" t="str">
        <x:v>Toyota</x:v>
      </x:c>
      <x:c r="C37" s="49" t="str">
        <x:v>Camry</x:v>
      </x:c>
      <x:c r="D37" s="249" t="n">
        <x:f>COUNTIFS(Inventory!$G$2:$G$319,$A37,Inventory!$I$2:$I$319,$B37,Inventory!$J$2:$J$319,$C37)</x:f>
        <x:v>3</x:v>
      </x:c>
      <x:c r="E37" s="249" t="n">
        <x:f>COUNTIFS(Inventory!$G$2:$G$319,$A37,Inventory!$I$2:$I$319,$B37,Inventory!$J$2:$J$319,$C37,Inventory!$O$2:$O$319,"Listed")</x:f>
        <x:v>0</x:v>
      </x:c>
      <x:c r="F37" s="249" t="n">
        <x:f>COUNTIFS(Inventory!$G$2:$G$319,$A37,Inventory!$I$2:$I$319,$B37,Inventory!$J$2:$J$319,$C37,Inventory!$O$2:$O$319,"Price not exposed")</x:f>
        <x:v>3</x:v>
      </x:c>
      <x:c r="G37" s="257" t="str">
        <x:f>IF(E37=0,"",SUMIFS(Inventory!$N$2:$N$319,Inventory!$G$2:$G$319,$A37,Inventory!$I$2:$I$319,$B37,Inventory!$J$2:$J$319,$C37,Inventory!$O$2:$O$319,"Listed")/E37)</x:f>
      </x:c>
      <x:c r="H37" s="257" t="str">
        <x:f>IF(E37=0,"",MINIFS(Inventory!$N$2:$N$319,Inventory!$G$2:$G$319,$A37,Inventory!$I$2:$I$319,$B37,Inventory!$J$2:$J$319,$C37,Inventory!$O$2:$O$319,"Listed"))</x:f>
      </x:c>
      <x:c r="I37" s="269" t="str">
        <x:f>IF(E37=0,"",MAXIFS(Inventory!$N$2:$N$319,Inventory!$G$2:$G$319,$A37,Inventory!$I$2:$I$319,$B37,Inventory!$J$2:$J$319,$C37,Inventory!$O$2:$O$319,"Listed"))</x:f>
      </x:c>
    </x:row>
    <x:row r="38">
      <x:c r="A38" s="48" t="str">
        <x:v>Used</x:v>
      </x:c>
      <x:c r="B38" s="49" t="str">
        <x:v>Toyota</x:v>
      </x:c>
      <x:c r="C38" s="49" t="str">
        <x:v>Tacoma</x:v>
      </x:c>
      <x:c r="D38" s="249" t="n">
        <x:f>COUNTIFS(Inventory!$G$2:$G$319,$A38,Inventory!$I$2:$I$319,$B38,Inventory!$J$2:$J$319,$C38)</x:f>
        <x:v>3</x:v>
      </x:c>
      <x:c r="E38" s="249" t="n">
        <x:f>COUNTIFS(Inventory!$G$2:$G$319,$A38,Inventory!$I$2:$I$319,$B38,Inventory!$J$2:$J$319,$C38,Inventory!$O$2:$O$319,"Listed")</x:f>
        <x:v>0</x:v>
      </x:c>
      <x:c r="F38" s="249" t="n">
        <x:f>COUNTIFS(Inventory!$G$2:$G$319,$A38,Inventory!$I$2:$I$319,$B38,Inventory!$J$2:$J$319,$C38,Inventory!$O$2:$O$319,"Price not exposed")</x:f>
        <x:v>3</x:v>
      </x:c>
      <x:c r="G38" s="257" t="str">
        <x:f>IF(E38=0,"",SUMIFS(Inventory!$N$2:$N$319,Inventory!$G$2:$G$319,$A38,Inventory!$I$2:$I$319,$B38,Inventory!$J$2:$J$319,$C38,Inventory!$O$2:$O$319,"Listed")/E38)</x:f>
      </x:c>
      <x:c r="H38" s="257" t="str">
        <x:f>IF(E38=0,"",MINIFS(Inventory!$N$2:$N$319,Inventory!$G$2:$G$319,$A38,Inventory!$I$2:$I$319,$B38,Inventory!$J$2:$J$319,$C38,Inventory!$O$2:$O$319,"Listed"))</x:f>
      </x:c>
      <x:c r="I38" s="269" t="str">
        <x:f>IF(E38=0,"",MAXIFS(Inventory!$N$2:$N$319,Inventory!$G$2:$G$319,$A38,Inventory!$I$2:$I$319,$B38,Inventory!$J$2:$J$319,$C38,Inventory!$O$2:$O$319,"Listed"))</x:f>
      </x:c>
    </x:row>
    <x:row r="39">
      <x:c r="A39" s="48" t="str">
        <x:v>Used</x:v>
      </x:c>
      <x:c r="B39" s="49" t="str">
        <x:v>Volkswagen</x:v>
      </x:c>
      <x:c r="C39" s="49" t="str">
        <x:v>Atlas</x:v>
      </x:c>
      <x:c r="D39" s="249" t="n">
        <x:f>COUNTIFS(Inventory!$G$2:$G$319,$A39,Inventory!$I$2:$I$319,$B39,Inventory!$J$2:$J$319,$C39)</x:f>
        <x:v>3</x:v>
      </x:c>
      <x:c r="E39" s="249" t="n">
        <x:f>COUNTIFS(Inventory!$G$2:$G$319,$A39,Inventory!$I$2:$I$319,$B39,Inventory!$J$2:$J$319,$C39,Inventory!$O$2:$O$319,"Listed")</x:f>
        <x:v>1</x:v>
      </x:c>
      <x:c r="F39" s="249" t="n">
        <x:f>COUNTIFS(Inventory!$G$2:$G$319,$A39,Inventory!$I$2:$I$319,$B39,Inventory!$J$2:$J$319,$C39,Inventory!$O$2:$O$319,"Price not exposed")</x:f>
        <x:v>2</x:v>
      </x:c>
      <x:c r="G39" s="257" t="n">
        <x:f>IF(E39=0,"",SUMIFS(Inventory!$N$2:$N$319,Inventory!$G$2:$G$319,$A39,Inventory!$I$2:$I$319,$B39,Inventory!$J$2:$J$319,$C39,Inventory!$O$2:$O$319,"Listed")/E39)</x:f>
        <x:v>27695</x:v>
      </x:c>
      <x:c r="H39" s="257" t="n">
        <x:f>IF(E39=0,"",MINIFS(Inventory!$N$2:$N$319,Inventory!$G$2:$G$319,$A39,Inventory!$I$2:$I$319,$B39,Inventory!$J$2:$J$319,$C39,Inventory!$O$2:$O$319,"Listed"))</x:f>
        <x:v>27695</x:v>
      </x:c>
      <x:c r="I39" s="269" t="n">
        <x:f>IF(E39=0,"",MAXIFS(Inventory!$N$2:$N$319,Inventory!$G$2:$G$319,$A39,Inventory!$I$2:$I$319,$B39,Inventory!$J$2:$J$319,$C39,Inventory!$O$2:$O$319,"Listed"))</x:f>
        <x:v>27695</x:v>
      </x:c>
    </x:row>
    <x:row r="40">
      <x:c r="A40" s="48" t="str">
        <x:v>Used</x:v>
      </x:c>
      <x:c r="B40" s="49" t="str">
        <x:v>Acura</x:v>
      </x:c>
      <x:c r="C40" s="49" t="str">
        <x:v>RDX</x:v>
      </x:c>
      <x:c r="D40" s="249" t="n">
        <x:f>COUNTIFS(Inventory!$G$2:$G$319,$A40,Inventory!$I$2:$I$319,$B40,Inventory!$J$2:$J$319,$C40)</x:f>
        <x:v>2</x:v>
      </x:c>
      <x:c r="E40" s="249" t="n">
        <x:f>COUNTIFS(Inventory!$G$2:$G$319,$A40,Inventory!$I$2:$I$319,$B40,Inventory!$J$2:$J$319,$C40,Inventory!$O$2:$O$319,"Listed")</x:f>
        <x:v>0</x:v>
      </x:c>
      <x:c r="F40" s="249" t="n">
        <x:f>COUNTIFS(Inventory!$G$2:$G$319,$A40,Inventory!$I$2:$I$319,$B40,Inventory!$J$2:$J$319,$C40,Inventory!$O$2:$O$319,"Price not exposed")</x:f>
        <x:v>2</x:v>
      </x:c>
      <x:c r="G40" s="257" t="str">
        <x:f>IF(E40=0,"",SUMIFS(Inventory!$N$2:$N$319,Inventory!$G$2:$G$319,$A40,Inventory!$I$2:$I$319,$B40,Inventory!$J$2:$J$319,$C40,Inventory!$O$2:$O$319,"Listed")/E40)</x:f>
      </x:c>
      <x:c r="H40" s="257" t="str">
        <x:f>IF(E40=0,"",MINIFS(Inventory!$N$2:$N$319,Inventory!$G$2:$G$319,$A40,Inventory!$I$2:$I$319,$B40,Inventory!$J$2:$J$319,$C40,Inventory!$O$2:$O$319,"Listed"))</x:f>
      </x:c>
      <x:c r="I40" s="269" t="str">
        <x:f>IF(E40=0,"",MAXIFS(Inventory!$N$2:$N$319,Inventory!$G$2:$G$319,$A40,Inventory!$I$2:$I$319,$B40,Inventory!$J$2:$J$319,$C40,Inventory!$O$2:$O$319,"Listed"))</x:f>
      </x:c>
    </x:row>
    <x:row r="41">
      <x:c r="A41" s="48" t="str">
        <x:v>Used</x:v>
      </x:c>
      <x:c r="B41" s="49" t="str">
        <x:v>BMW</x:v>
      </x:c>
      <x:c r="C41" s="49" t="str">
        <x:v>5 Series</x:v>
      </x:c>
      <x:c r="D41" s="249" t="n">
        <x:f>COUNTIFS(Inventory!$G$2:$G$319,$A41,Inventory!$I$2:$I$319,$B41,Inventory!$J$2:$J$319,$C41)</x:f>
        <x:v>2</x:v>
      </x:c>
      <x:c r="E41" s="249" t="n">
        <x:f>COUNTIFS(Inventory!$G$2:$G$319,$A41,Inventory!$I$2:$I$319,$B41,Inventory!$J$2:$J$319,$C41,Inventory!$O$2:$O$319,"Listed")</x:f>
        <x:v>0</x:v>
      </x:c>
      <x:c r="F41" s="249" t="n">
        <x:f>COUNTIFS(Inventory!$G$2:$G$319,$A41,Inventory!$I$2:$I$319,$B41,Inventory!$J$2:$J$319,$C41,Inventory!$O$2:$O$319,"Price not exposed")</x:f>
        <x:v>2</x:v>
      </x:c>
      <x:c r="G41" s="257" t="str">
        <x:f>IF(E41=0,"",SUMIFS(Inventory!$N$2:$N$319,Inventory!$G$2:$G$319,$A41,Inventory!$I$2:$I$319,$B41,Inventory!$J$2:$J$319,$C41,Inventory!$O$2:$O$319,"Listed")/E41)</x:f>
      </x:c>
      <x:c r="H41" s="257" t="str">
        <x:f>IF(E41=0,"",MINIFS(Inventory!$N$2:$N$319,Inventory!$G$2:$G$319,$A41,Inventory!$I$2:$I$319,$B41,Inventory!$J$2:$J$319,$C41,Inventory!$O$2:$O$319,"Listed"))</x:f>
      </x:c>
      <x:c r="I41" s="269" t="str">
        <x:f>IF(E41=0,"",MAXIFS(Inventory!$N$2:$N$319,Inventory!$G$2:$G$319,$A41,Inventory!$I$2:$I$319,$B41,Inventory!$J$2:$J$319,$C41,Inventory!$O$2:$O$319,"Listed"))</x:f>
      </x:c>
    </x:row>
    <x:row r="42">
      <x:c r="A42" s="48" t="str">
        <x:v>Used</x:v>
      </x:c>
      <x:c r="B42" s="49" t="str">
        <x:v>Buick</x:v>
      </x:c>
      <x:c r="C42" s="49" t="str">
        <x:v>Enclave</x:v>
      </x:c>
      <x:c r="D42" s="249" t="n">
        <x:f>COUNTIFS(Inventory!$G$2:$G$319,$A42,Inventory!$I$2:$I$319,$B42,Inventory!$J$2:$J$319,$C42)</x:f>
        <x:v>2</x:v>
      </x:c>
      <x:c r="E42" s="249" t="n">
        <x:f>COUNTIFS(Inventory!$G$2:$G$319,$A42,Inventory!$I$2:$I$319,$B42,Inventory!$J$2:$J$319,$C42,Inventory!$O$2:$O$319,"Listed")</x:f>
        <x:v>0</x:v>
      </x:c>
      <x:c r="F42" s="249" t="n">
        <x:f>COUNTIFS(Inventory!$G$2:$G$319,$A42,Inventory!$I$2:$I$319,$B42,Inventory!$J$2:$J$319,$C42,Inventory!$O$2:$O$319,"Price not exposed")</x:f>
        <x:v>2</x:v>
      </x:c>
      <x:c r="G42" s="257" t="str">
        <x:f>IF(E42=0,"",SUMIFS(Inventory!$N$2:$N$319,Inventory!$G$2:$G$319,$A42,Inventory!$I$2:$I$319,$B42,Inventory!$J$2:$J$319,$C42,Inventory!$O$2:$O$319,"Listed")/E42)</x:f>
      </x:c>
      <x:c r="H42" s="257" t="str">
        <x:f>IF(E42=0,"",MINIFS(Inventory!$N$2:$N$319,Inventory!$G$2:$G$319,$A42,Inventory!$I$2:$I$319,$B42,Inventory!$J$2:$J$319,$C42,Inventory!$O$2:$O$319,"Listed"))</x:f>
      </x:c>
      <x:c r="I42" s="269" t="str">
        <x:f>IF(E42=0,"",MAXIFS(Inventory!$N$2:$N$319,Inventory!$G$2:$G$319,$A42,Inventory!$I$2:$I$319,$B42,Inventory!$J$2:$J$319,$C42,Inventory!$O$2:$O$319,"Listed"))</x:f>
      </x:c>
    </x:row>
    <x:row r="43">
      <x:c r="A43" s="48" t="str">
        <x:v>Used</x:v>
      </x:c>
      <x:c r="B43" s="49" t="str">
        <x:v>Chevrolet</x:v>
      </x:c>
      <x:c r="C43" s="49" t="str">
        <x:v>Colorado</x:v>
      </x:c>
      <x:c r="D43" s="249" t="n">
        <x:f>COUNTIFS(Inventory!$G$2:$G$319,$A43,Inventory!$I$2:$I$319,$B43,Inventory!$J$2:$J$319,$C43)</x:f>
        <x:v>2</x:v>
      </x:c>
      <x:c r="E43" s="249" t="n">
        <x:f>COUNTIFS(Inventory!$G$2:$G$319,$A43,Inventory!$I$2:$I$319,$B43,Inventory!$J$2:$J$319,$C43,Inventory!$O$2:$O$319,"Listed")</x:f>
        <x:v>0</x:v>
      </x:c>
      <x:c r="F43" s="249" t="n">
        <x:f>COUNTIFS(Inventory!$G$2:$G$319,$A43,Inventory!$I$2:$I$319,$B43,Inventory!$J$2:$J$319,$C43,Inventory!$O$2:$O$319,"Price not exposed")</x:f>
        <x:v>2</x:v>
      </x:c>
      <x:c r="G43" s="257" t="str">
        <x:f>IF(E43=0,"",SUMIFS(Inventory!$N$2:$N$319,Inventory!$G$2:$G$319,$A43,Inventory!$I$2:$I$319,$B43,Inventory!$J$2:$J$319,$C43,Inventory!$O$2:$O$319,"Listed")/E43)</x:f>
      </x:c>
      <x:c r="H43" s="257" t="str">
        <x:f>IF(E43=0,"",MINIFS(Inventory!$N$2:$N$319,Inventory!$G$2:$G$319,$A43,Inventory!$I$2:$I$319,$B43,Inventory!$J$2:$J$319,$C43,Inventory!$O$2:$O$319,"Listed"))</x:f>
      </x:c>
      <x:c r="I43" s="269" t="str">
        <x:f>IF(E43=0,"",MAXIFS(Inventory!$N$2:$N$319,Inventory!$G$2:$G$319,$A43,Inventory!$I$2:$I$319,$B43,Inventory!$J$2:$J$319,$C43,Inventory!$O$2:$O$319,"Listed"))</x:f>
      </x:c>
    </x:row>
    <x:row r="44">
      <x:c r="A44" s="48" t="str">
        <x:v>Used</x:v>
      </x:c>
      <x:c r="B44" s="49" t="str">
        <x:v>Chevrolet</x:v>
      </x:c>
      <x:c r="C44" s="49" t="str">
        <x:v>Cruze</x:v>
      </x:c>
      <x:c r="D44" s="249" t="n">
        <x:f>COUNTIFS(Inventory!$G$2:$G$319,$A44,Inventory!$I$2:$I$319,$B44,Inventory!$J$2:$J$319,$C44)</x:f>
        <x:v>2</x:v>
      </x:c>
      <x:c r="E44" s="249" t="n">
        <x:f>COUNTIFS(Inventory!$G$2:$G$319,$A44,Inventory!$I$2:$I$319,$B44,Inventory!$J$2:$J$319,$C44,Inventory!$O$2:$O$319,"Listed")</x:f>
        <x:v>0</x:v>
      </x:c>
      <x:c r="F44" s="249" t="n">
        <x:f>COUNTIFS(Inventory!$G$2:$G$319,$A44,Inventory!$I$2:$I$319,$B44,Inventory!$J$2:$J$319,$C44,Inventory!$O$2:$O$319,"Price not exposed")</x:f>
        <x:v>2</x:v>
      </x:c>
      <x:c r="G44" s="257" t="str">
        <x:f>IF(E44=0,"",SUMIFS(Inventory!$N$2:$N$319,Inventory!$G$2:$G$319,$A44,Inventory!$I$2:$I$319,$B44,Inventory!$J$2:$J$319,$C44,Inventory!$O$2:$O$319,"Listed")/E44)</x:f>
      </x:c>
      <x:c r="H44" s="257" t="str">
        <x:f>IF(E44=0,"",MINIFS(Inventory!$N$2:$N$319,Inventory!$G$2:$G$319,$A44,Inventory!$I$2:$I$319,$B44,Inventory!$J$2:$J$319,$C44,Inventory!$O$2:$O$319,"Listed"))</x:f>
      </x:c>
      <x:c r="I44" s="269" t="str">
        <x:f>IF(E44=0,"",MAXIFS(Inventory!$N$2:$N$319,Inventory!$G$2:$G$319,$A44,Inventory!$I$2:$I$319,$B44,Inventory!$J$2:$J$319,$C44,Inventory!$O$2:$O$319,"Listed"))</x:f>
      </x:c>
    </x:row>
    <x:row r="45">
      <x:c r="A45" s="48" t="str">
        <x:v>Used</x:v>
      </x:c>
      <x:c r="B45" s="49" t="str">
        <x:v>Chevrolet</x:v>
      </x:c>
      <x:c r="C45" s="49" t="str">
        <x:v>Silverado 1500 LD</x:v>
      </x:c>
      <x:c r="D45" s="249" t="n">
        <x:f>COUNTIFS(Inventory!$G$2:$G$319,$A45,Inventory!$I$2:$I$319,$B45,Inventory!$J$2:$J$319,$C45)</x:f>
        <x:v>2</x:v>
      </x:c>
      <x:c r="E45" s="249" t="n">
        <x:f>COUNTIFS(Inventory!$G$2:$G$319,$A45,Inventory!$I$2:$I$319,$B45,Inventory!$J$2:$J$319,$C45,Inventory!$O$2:$O$319,"Listed")</x:f>
        <x:v>1</x:v>
      </x:c>
      <x:c r="F45" s="249" t="n">
        <x:f>COUNTIFS(Inventory!$G$2:$G$319,$A45,Inventory!$I$2:$I$319,$B45,Inventory!$J$2:$J$319,$C45,Inventory!$O$2:$O$319,"Price not exposed")</x:f>
        <x:v>1</x:v>
      </x:c>
      <x:c r="G45" s="257" t="n">
        <x:f>IF(E45=0,"",SUMIFS(Inventory!$N$2:$N$319,Inventory!$G$2:$G$319,$A45,Inventory!$I$2:$I$319,$B45,Inventory!$J$2:$J$319,$C45,Inventory!$O$2:$O$319,"Listed")/E45)</x:f>
        <x:v>20395</x:v>
      </x:c>
      <x:c r="H45" s="257" t="n">
        <x:f>IF(E45=0,"",MINIFS(Inventory!$N$2:$N$319,Inventory!$G$2:$G$319,$A45,Inventory!$I$2:$I$319,$B45,Inventory!$J$2:$J$319,$C45,Inventory!$O$2:$O$319,"Listed"))</x:f>
        <x:v>20395</x:v>
      </x:c>
      <x:c r="I45" s="269" t="n">
        <x:f>IF(E45=0,"",MAXIFS(Inventory!$N$2:$N$319,Inventory!$G$2:$G$319,$A45,Inventory!$I$2:$I$319,$B45,Inventory!$J$2:$J$319,$C45,Inventory!$O$2:$O$319,"Listed"))</x:f>
        <x:v>20395</x:v>
      </x:c>
    </x:row>
    <x:row r="46">
      <x:c r="A46" s="48" t="str">
        <x:v>Used</x:v>
      </x:c>
      <x:c r="B46" s="49" t="str">
        <x:v>Chevrolet</x:v>
      </x:c>
      <x:c r="C46" s="49" t="str">
        <x:v>Silverado 1500 LTD</x:v>
      </x:c>
      <x:c r="D46" s="249" t="n">
        <x:f>COUNTIFS(Inventory!$G$2:$G$319,$A46,Inventory!$I$2:$I$319,$B46,Inventory!$J$2:$J$319,$C46)</x:f>
        <x:v>2</x:v>
      </x:c>
      <x:c r="E46" s="249" t="n">
        <x:f>COUNTIFS(Inventory!$G$2:$G$319,$A46,Inventory!$I$2:$I$319,$B46,Inventory!$J$2:$J$319,$C46,Inventory!$O$2:$O$319,"Listed")</x:f>
        <x:v>0</x:v>
      </x:c>
      <x:c r="F46" s="249" t="n">
        <x:f>COUNTIFS(Inventory!$G$2:$G$319,$A46,Inventory!$I$2:$I$319,$B46,Inventory!$J$2:$J$319,$C46,Inventory!$O$2:$O$319,"Price not exposed")</x:f>
        <x:v>2</x:v>
      </x:c>
      <x:c r="G46" s="257" t="str">
        <x:f>IF(E46=0,"",SUMIFS(Inventory!$N$2:$N$319,Inventory!$G$2:$G$319,$A46,Inventory!$I$2:$I$319,$B46,Inventory!$J$2:$J$319,$C46,Inventory!$O$2:$O$319,"Listed")/E46)</x:f>
      </x:c>
      <x:c r="H46" s="257" t="str">
        <x:f>IF(E46=0,"",MINIFS(Inventory!$N$2:$N$319,Inventory!$G$2:$G$319,$A46,Inventory!$I$2:$I$319,$B46,Inventory!$J$2:$J$319,$C46,Inventory!$O$2:$O$319,"Listed"))</x:f>
      </x:c>
      <x:c r="I46" s="269" t="str">
        <x:f>IF(E46=0,"",MAXIFS(Inventory!$N$2:$N$319,Inventory!$G$2:$G$319,$A46,Inventory!$I$2:$I$319,$B46,Inventory!$J$2:$J$319,$C46,Inventory!$O$2:$O$319,"Listed"))</x:f>
      </x:c>
    </x:row>
    <x:row r="47">
      <x:c r="A47" s="48" t="str">
        <x:v>Used</x:v>
      </x:c>
      <x:c r="B47" s="49" t="str">
        <x:v>Chevrolet</x:v>
      </x:c>
      <x:c r="C47" s="49" t="str">
        <x:v>Tahoe</x:v>
      </x:c>
      <x:c r="D47" s="249" t="n">
        <x:f>COUNTIFS(Inventory!$G$2:$G$319,$A47,Inventory!$I$2:$I$319,$B47,Inventory!$J$2:$J$319,$C47)</x:f>
        <x:v>2</x:v>
      </x:c>
      <x:c r="E47" s="249" t="n">
        <x:f>COUNTIFS(Inventory!$G$2:$G$319,$A47,Inventory!$I$2:$I$319,$B47,Inventory!$J$2:$J$319,$C47,Inventory!$O$2:$O$319,"Listed")</x:f>
        <x:v>1</x:v>
      </x:c>
      <x:c r="F47" s="249" t="n">
        <x:f>COUNTIFS(Inventory!$G$2:$G$319,$A47,Inventory!$I$2:$I$319,$B47,Inventory!$J$2:$J$319,$C47,Inventory!$O$2:$O$319,"Price not exposed")</x:f>
        <x:v>1</x:v>
      </x:c>
      <x:c r="G47" s="257" t="n">
        <x:f>IF(E47=0,"",SUMIFS(Inventory!$N$2:$N$319,Inventory!$G$2:$G$319,$A47,Inventory!$I$2:$I$319,$B47,Inventory!$J$2:$J$319,$C47,Inventory!$O$2:$O$319,"Listed")/E47)</x:f>
        <x:v>35495</x:v>
      </x:c>
      <x:c r="H47" s="257" t="n">
        <x:f>IF(E47=0,"",MINIFS(Inventory!$N$2:$N$319,Inventory!$G$2:$G$319,$A47,Inventory!$I$2:$I$319,$B47,Inventory!$J$2:$J$319,$C47,Inventory!$O$2:$O$319,"Listed"))</x:f>
        <x:v>35495</x:v>
      </x:c>
      <x:c r="I47" s="269" t="n">
        <x:f>IF(E47=0,"",MAXIFS(Inventory!$N$2:$N$319,Inventory!$G$2:$G$319,$A47,Inventory!$I$2:$I$319,$B47,Inventory!$J$2:$J$319,$C47,Inventory!$O$2:$O$319,"Listed"))</x:f>
        <x:v>35495</x:v>
      </x:c>
    </x:row>
    <x:row r="48">
      <x:c r="A48" s="48" t="str">
        <x:v>Used</x:v>
      </x:c>
      <x:c r="B48" s="49" t="str">
        <x:v>Chevrolet</x:v>
      </x:c>
      <x:c r="C48" s="49" t="str">
        <x:v>TrailBlazer</x:v>
      </x:c>
      <x:c r="D48" s="249" t="n">
        <x:f>COUNTIFS(Inventory!$G$2:$G$319,$A48,Inventory!$I$2:$I$319,$B48,Inventory!$J$2:$J$319,$C48)</x:f>
        <x:v>2</x:v>
      </x:c>
      <x:c r="E48" s="249" t="n">
        <x:f>COUNTIFS(Inventory!$G$2:$G$319,$A48,Inventory!$I$2:$I$319,$B48,Inventory!$J$2:$J$319,$C48,Inventory!$O$2:$O$319,"Listed")</x:f>
        <x:v>0</x:v>
      </x:c>
      <x:c r="F48" s="249" t="n">
        <x:f>COUNTIFS(Inventory!$G$2:$G$319,$A48,Inventory!$I$2:$I$319,$B48,Inventory!$J$2:$J$319,$C48,Inventory!$O$2:$O$319,"Price not exposed")</x:f>
        <x:v>2</x:v>
      </x:c>
      <x:c r="G48" s="257" t="str">
        <x:f>IF(E48=0,"",SUMIFS(Inventory!$N$2:$N$319,Inventory!$G$2:$G$319,$A48,Inventory!$I$2:$I$319,$B48,Inventory!$J$2:$J$319,$C48,Inventory!$O$2:$O$319,"Listed")/E48)</x:f>
      </x:c>
      <x:c r="H48" s="257" t="str">
        <x:f>IF(E48=0,"",MINIFS(Inventory!$N$2:$N$319,Inventory!$G$2:$G$319,$A48,Inventory!$I$2:$I$319,$B48,Inventory!$J$2:$J$319,$C48,Inventory!$O$2:$O$319,"Listed"))</x:f>
      </x:c>
      <x:c r="I48" s="269" t="str">
        <x:f>IF(E48=0,"",MAXIFS(Inventory!$N$2:$N$319,Inventory!$G$2:$G$319,$A48,Inventory!$I$2:$I$319,$B48,Inventory!$J$2:$J$319,$C48,Inventory!$O$2:$O$319,"Listed"))</x:f>
      </x:c>
    </x:row>
    <x:row r="49">
      <x:c r="A49" s="48" t="str">
        <x:v>Used</x:v>
      </x:c>
      <x:c r="B49" s="49" t="str">
        <x:v>Chevrolet</x:v>
      </x:c>
      <x:c r="C49" s="49" t="str">
        <x:v>Trax</x:v>
      </x:c>
      <x:c r="D49" s="249" t="n">
        <x:f>COUNTIFS(Inventory!$G$2:$G$319,$A49,Inventory!$I$2:$I$319,$B49,Inventory!$J$2:$J$319,$C49)</x:f>
        <x:v>2</x:v>
      </x:c>
      <x:c r="E49" s="249" t="n">
        <x:f>COUNTIFS(Inventory!$G$2:$G$319,$A49,Inventory!$I$2:$I$319,$B49,Inventory!$J$2:$J$319,$C49,Inventory!$O$2:$O$319,"Listed")</x:f>
        <x:v>0</x:v>
      </x:c>
      <x:c r="F49" s="249" t="n">
        <x:f>COUNTIFS(Inventory!$G$2:$G$319,$A49,Inventory!$I$2:$I$319,$B49,Inventory!$J$2:$J$319,$C49,Inventory!$O$2:$O$319,"Price not exposed")</x:f>
        <x:v>2</x:v>
      </x:c>
      <x:c r="G49" s="257" t="str">
        <x:f>IF(E49=0,"",SUMIFS(Inventory!$N$2:$N$319,Inventory!$G$2:$G$319,$A49,Inventory!$I$2:$I$319,$B49,Inventory!$J$2:$J$319,$C49,Inventory!$O$2:$O$319,"Listed")/E49)</x:f>
      </x:c>
      <x:c r="H49" s="257" t="str">
        <x:f>IF(E49=0,"",MINIFS(Inventory!$N$2:$N$319,Inventory!$G$2:$G$319,$A49,Inventory!$I$2:$I$319,$B49,Inventory!$J$2:$J$319,$C49,Inventory!$O$2:$O$319,"Listed"))</x:f>
      </x:c>
      <x:c r="I49" s="269" t="str">
        <x:f>IF(E49=0,"",MAXIFS(Inventory!$N$2:$N$319,Inventory!$G$2:$G$319,$A49,Inventory!$I$2:$I$319,$B49,Inventory!$J$2:$J$319,$C49,Inventory!$O$2:$O$319,"Listed"))</x:f>
      </x:c>
    </x:row>
    <x:row r="50">
      <x:c r="A50" s="48" t="str">
        <x:v>Used</x:v>
      </x:c>
      <x:c r="B50" s="49" t="str">
        <x:v>Chrysler</x:v>
      </x:c>
      <x:c r="C50" s="49" t="str">
        <x:v>Pacifica</x:v>
      </x:c>
      <x:c r="D50" s="249" t="n">
        <x:f>COUNTIFS(Inventory!$G$2:$G$319,$A50,Inventory!$I$2:$I$319,$B50,Inventory!$J$2:$J$319,$C50)</x:f>
        <x:v>2</x:v>
      </x:c>
      <x:c r="E50" s="249" t="n">
        <x:f>COUNTIFS(Inventory!$G$2:$G$319,$A50,Inventory!$I$2:$I$319,$B50,Inventory!$J$2:$J$319,$C50,Inventory!$O$2:$O$319,"Listed")</x:f>
        <x:v>0</x:v>
      </x:c>
      <x:c r="F50" s="249" t="n">
        <x:f>COUNTIFS(Inventory!$G$2:$G$319,$A50,Inventory!$I$2:$I$319,$B50,Inventory!$J$2:$J$319,$C50,Inventory!$O$2:$O$319,"Price not exposed")</x:f>
        <x:v>2</x:v>
      </x:c>
      <x:c r="G50" s="257" t="str">
        <x:f>IF(E50=0,"",SUMIFS(Inventory!$N$2:$N$319,Inventory!$G$2:$G$319,$A50,Inventory!$I$2:$I$319,$B50,Inventory!$J$2:$J$319,$C50,Inventory!$O$2:$O$319,"Listed")/E50)</x:f>
      </x:c>
      <x:c r="H50" s="257" t="str">
        <x:f>IF(E50=0,"",MINIFS(Inventory!$N$2:$N$319,Inventory!$G$2:$G$319,$A50,Inventory!$I$2:$I$319,$B50,Inventory!$J$2:$J$319,$C50,Inventory!$O$2:$O$319,"Listed"))</x:f>
      </x:c>
      <x:c r="I50" s="269" t="str">
        <x:f>IF(E50=0,"",MAXIFS(Inventory!$N$2:$N$319,Inventory!$G$2:$G$319,$A50,Inventory!$I$2:$I$319,$B50,Inventory!$J$2:$J$319,$C50,Inventory!$O$2:$O$319,"Listed"))</x:f>
      </x:c>
    </x:row>
    <x:row r="51">
      <x:c r="A51" s="48" t="str">
        <x:v>Used</x:v>
      </x:c>
      <x:c r="B51" s="49" t="str">
        <x:v>Dodge</x:v>
      </x:c>
      <x:c r="C51" s="49" t="str">
        <x:v>Durango</x:v>
      </x:c>
      <x:c r="D51" s="249" t="n">
        <x:f>COUNTIFS(Inventory!$G$2:$G$319,$A51,Inventory!$I$2:$I$319,$B51,Inventory!$J$2:$J$319,$C51)</x:f>
        <x:v>2</x:v>
      </x:c>
      <x:c r="E51" s="249" t="n">
        <x:f>COUNTIFS(Inventory!$G$2:$G$319,$A51,Inventory!$I$2:$I$319,$B51,Inventory!$J$2:$J$319,$C51,Inventory!$O$2:$O$319,"Listed")</x:f>
        <x:v>0</x:v>
      </x:c>
      <x:c r="F51" s="249" t="n">
        <x:f>COUNTIFS(Inventory!$G$2:$G$319,$A51,Inventory!$I$2:$I$319,$B51,Inventory!$J$2:$J$319,$C51,Inventory!$O$2:$O$319,"Price not exposed")</x:f>
        <x:v>2</x:v>
      </x:c>
      <x:c r="G51" s="257" t="str">
        <x:f>IF(E51=0,"",SUMIFS(Inventory!$N$2:$N$319,Inventory!$G$2:$G$319,$A51,Inventory!$I$2:$I$319,$B51,Inventory!$J$2:$J$319,$C51,Inventory!$O$2:$O$319,"Listed")/E51)</x:f>
      </x:c>
      <x:c r="H51" s="257" t="str">
        <x:f>IF(E51=0,"",MINIFS(Inventory!$N$2:$N$319,Inventory!$G$2:$G$319,$A51,Inventory!$I$2:$I$319,$B51,Inventory!$J$2:$J$319,$C51,Inventory!$O$2:$O$319,"Listed"))</x:f>
      </x:c>
      <x:c r="I51" s="269" t="str">
        <x:f>IF(E51=0,"",MAXIFS(Inventory!$N$2:$N$319,Inventory!$G$2:$G$319,$A51,Inventory!$I$2:$I$319,$B51,Inventory!$J$2:$J$319,$C51,Inventory!$O$2:$O$319,"Listed"))</x:f>
      </x:c>
    </x:row>
    <x:row r="52">
      <x:c r="A52" s="48" t="str">
        <x:v>Used</x:v>
      </x:c>
      <x:c r="B52" s="49" t="str">
        <x:v>Ford</x:v>
      </x:c>
      <x:c r="C52" s="49" t="str">
        <x:v>EcoSport</x:v>
      </x:c>
      <x:c r="D52" s="249" t="n">
        <x:f>COUNTIFS(Inventory!$G$2:$G$319,$A52,Inventory!$I$2:$I$319,$B52,Inventory!$J$2:$J$319,$C52)</x:f>
        <x:v>2</x:v>
      </x:c>
      <x:c r="E52" s="249" t="n">
        <x:f>COUNTIFS(Inventory!$G$2:$G$319,$A52,Inventory!$I$2:$I$319,$B52,Inventory!$J$2:$J$319,$C52,Inventory!$O$2:$O$319,"Listed")</x:f>
        <x:v>0</x:v>
      </x:c>
      <x:c r="F52" s="249" t="n">
        <x:f>COUNTIFS(Inventory!$G$2:$G$319,$A52,Inventory!$I$2:$I$319,$B52,Inventory!$J$2:$J$319,$C52,Inventory!$O$2:$O$319,"Price not exposed")</x:f>
        <x:v>2</x:v>
      </x:c>
      <x:c r="G52" s="257" t="str">
        <x:f>IF(E52=0,"",SUMIFS(Inventory!$N$2:$N$319,Inventory!$G$2:$G$319,$A52,Inventory!$I$2:$I$319,$B52,Inventory!$J$2:$J$319,$C52,Inventory!$O$2:$O$319,"Listed")/E52)</x:f>
      </x:c>
      <x:c r="H52" s="257" t="str">
        <x:f>IF(E52=0,"",MINIFS(Inventory!$N$2:$N$319,Inventory!$G$2:$G$319,$A52,Inventory!$I$2:$I$319,$B52,Inventory!$J$2:$J$319,$C52,Inventory!$O$2:$O$319,"Listed"))</x:f>
      </x:c>
      <x:c r="I52" s="269" t="str">
        <x:f>IF(E52=0,"",MAXIFS(Inventory!$N$2:$N$319,Inventory!$G$2:$G$319,$A52,Inventory!$I$2:$I$319,$B52,Inventory!$J$2:$J$319,$C52,Inventory!$O$2:$O$319,"Listed"))</x:f>
      </x:c>
    </x:row>
    <x:row r="53">
      <x:c r="A53" s="48" t="str">
        <x:v>Used</x:v>
      </x:c>
      <x:c r="B53" s="49" t="str">
        <x:v>Ford</x:v>
      </x:c>
      <x:c r="C53" s="49" t="str">
        <x:v>F-250SD</x:v>
      </x:c>
      <x:c r="D53" s="249" t="n">
        <x:f>COUNTIFS(Inventory!$G$2:$G$319,$A53,Inventory!$I$2:$I$319,$B53,Inventory!$J$2:$J$319,$C53)</x:f>
        <x:v>2</x:v>
      </x:c>
      <x:c r="E53" s="249" t="n">
        <x:f>COUNTIFS(Inventory!$G$2:$G$319,$A53,Inventory!$I$2:$I$319,$B53,Inventory!$J$2:$J$319,$C53,Inventory!$O$2:$O$319,"Listed")</x:f>
        <x:v>1</x:v>
      </x:c>
      <x:c r="F53" s="249" t="n">
        <x:f>COUNTIFS(Inventory!$G$2:$G$319,$A53,Inventory!$I$2:$I$319,$B53,Inventory!$J$2:$J$319,$C53,Inventory!$O$2:$O$319,"Price not exposed")</x:f>
        <x:v>1</x:v>
      </x:c>
      <x:c r="G53" s="257" t="n">
        <x:f>IF(E53=0,"",SUMIFS(Inventory!$N$2:$N$319,Inventory!$G$2:$G$319,$A53,Inventory!$I$2:$I$319,$B53,Inventory!$J$2:$J$319,$C53,Inventory!$O$2:$O$319,"Listed")/E53)</x:f>
        <x:v>42395</x:v>
      </x:c>
      <x:c r="H53" s="257" t="n">
        <x:f>IF(E53=0,"",MINIFS(Inventory!$N$2:$N$319,Inventory!$G$2:$G$319,$A53,Inventory!$I$2:$I$319,$B53,Inventory!$J$2:$J$319,$C53,Inventory!$O$2:$O$319,"Listed"))</x:f>
        <x:v>42395</x:v>
      </x:c>
      <x:c r="I53" s="269" t="n">
        <x:f>IF(E53=0,"",MAXIFS(Inventory!$N$2:$N$319,Inventory!$G$2:$G$319,$A53,Inventory!$I$2:$I$319,$B53,Inventory!$J$2:$J$319,$C53,Inventory!$O$2:$O$319,"Listed"))</x:f>
        <x:v>42395</x:v>
      </x:c>
    </x:row>
    <x:row r="54">
      <x:c r="A54" s="48" t="str">
        <x:v>Used</x:v>
      </x:c>
      <x:c r="B54" s="49" t="str">
        <x:v>Ford</x:v>
      </x:c>
      <x:c r="C54" s="49" t="str">
        <x:v>Mustang</x:v>
      </x:c>
      <x:c r="D54" s="249" t="n">
        <x:f>COUNTIFS(Inventory!$G$2:$G$319,$A54,Inventory!$I$2:$I$319,$B54,Inventory!$J$2:$J$319,$C54)</x:f>
        <x:v>2</x:v>
      </x:c>
      <x:c r="E54" s="249" t="n">
        <x:f>COUNTIFS(Inventory!$G$2:$G$319,$A54,Inventory!$I$2:$I$319,$B54,Inventory!$J$2:$J$319,$C54,Inventory!$O$2:$O$319,"Listed")</x:f>
        <x:v>0</x:v>
      </x:c>
      <x:c r="F54" s="249" t="n">
        <x:f>COUNTIFS(Inventory!$G$2:$G$319,$A54,Inventory!$I$2:$I$319,$B54,Inventory!$J$2:$J$319,$C54,Inventory!$O$2:$O$319,"Price not exposed")</x:f>
        <x:v>2</x:v>
      </x:c>
      <x:c r="G54" s="257" t="str">
        <x:f>IF(E54=0,"",SUMIFS(Inventory!$N$2:$N$319,Inventory!$G$2:$G$319,$A54,Inventory!$I$2:$I$319,$B54,Inventory!$J$2:$J$319,$C54,Inventory!$O$2:$O$319,"Listed")/E54)</x:f>
      </x:c>
      <x:c r="H54" s="257" t="str">
        <x:f>IF(E54=0,"",MINIFS(Inventory!$N$2:$N$319,Inventory!$G$2:$G$319,$A54,Inventory!$I$2:$I$319,$B54,Inventory!$J$2:$J$319,$C54,Inventory!$O$2:$O$319,"Listed"))</x:f>
      </x:c>
      <x:c r="I54" s="269" t="str">
        <x:f>IF(E54=0,"",MAXIFS(Inventory!$N$2:$N$319,Inventory!$G$2:$G$319,$A54,Inventory!$I$2:$I$319,$B54,Inventory!$J$2:$J$319,$C54,Inventory!$O$2:$O$319,"Listed"))</x:f>
      </x:c>
    </x:row>
    <x:row r="55">
      <x:c r="A55" s="48" t="str">
        <x:v>Used</x:v>
      </x:c>
      <x:c r="B55" s="49" t="str">
        <x:v>GMC</x:v>
      </x:c>
      <x:c r="C55" s="49" t="str">
        <x:v>Canyon</x:v>
      </x:c>
      <x:c r="D55" s="249" t="n">
        <x:f>COUNTIFS(Inventory!$G$2:$G$319,$A55,Inventory!$I$2:$I$319,$B55,Inventory!$J$2:$J$319,$C55)</x:f>
        <x:v>2</x:v>
      </x:c>
      <x:c r="E55" s="249" t="n">
        <x:f>COUNTIFS(Inventory!$G$2:$G$319,$A55,Inventory!$I$2:$I$319,$B55,Inventory!$J$2:$J$319,$C55,Inventory!$O$2:$O$319,"Listed")</x:f>
        <x:v>0</x:v>
      </x:c>
      <x:c r="F55" s="249" t="n">
        <x:f>COUNTIFS(Inventory!$G$2:$G$319,$A55,Inventory!$I$2:$I$319,$B55,Inventory!$J$2:$J$319,$C55,Inventory!$O$2:$O$319,"Price not exposed")</x:f>
        <x:v>2</x:v>
      </x:c>
      <x:c r="G55" s="257" t="str">
        <x:f>IF(E55=0,"",SUMIFS(Inventory!$N$2:$N$319,Inventory!$G$2:$G$319,$A55,Inventory!$I$2:$I$319,$B55,Inventory!$J$2:$J$319,$C55,Inventory!$O$2:$O$319,"Listed")/E55)</x:f>
      </x:c>
      <x:c r="H55" s="257" t="str">
        <x:f>IF(E55=0,"",MINIFS(Inventory!$N$2:$N$319,Inventory!$G$2:$G$319,$A55,Inventory!$I$2:$I$319,$B55,Inventory!$J$2:$J$319,$C55,Inventory!$O$2:$O$319,"Listed"))</x:f>
      </x:c>
      <x:c r="I55" s="269" t="str">
        <x:f>IF(E55=0,"",MAXIFS(Inventory!$N$2:$N$319,Inventory!$G$2:$G$319,$A55,Inventory!$I$2:$I$319,$B55,Inventory!$J$2:$J$319,$C55,Inventory!$O$2:$O$319,"Listed"))</x:f>
      </x:c>
    </x:row>
    <x:row r="56">
      <x:c r="A56" s="48" t="str">
        <x:v>Used</x:v>
      </x:c>
      <x:c r="B56" s="49" t="str">
        <x:v>GMC</x:v>
      </x:c>
      <x:c r="C56" s="49" t="str">
        <x:v>Sierra 1500</x:v>
      </x:c>
      <x:c r="D56" s="249" t="n">
        <x:f>COUNTIFS(Inventory!$G$2:$G$319,$A56,Inventory!$I$2:$I$319,$B56,Inventory!$J$2:$J$319,$C56)</x:f>
        <x:v>2</x:v>
      </x:c>
      <x:c r="E56" s="249" t="n">
        <x:f>COUNTIFS(Inventory!$G$2:$G$319,$A56,Inventory!$I$2:$I$319,$B56,Inventory!$J$2:$J$319,$C56,Inventory!$O$2:$O$319,"Listed")</x:f>
        <x:v>0</x:v>
      </x:c>
      <x:c r="F56" s="249" t="n">
        <x:f>COUNTIFS(Inventory!$G$2:$G$319,$A56,Inventory!$I$2:$I$319,$B56,Inventory!$J$2:$J$319,$C56,Inventory!$O$2:$O$319,"Price not exposed")</x:f>
        <x:v>2</x:v>
      </x:c>
      <x:c r="G56" s="257" t="str">
        <x:f>IF(E56=0,"",SUMIFS(Inventory!$N$2:$N$319,Inventory!$G$2:$G$319,$A56,Inventory!$I$2:$I$319,$B56,Inventory!$J$2:$J$319,$C56,Inventory!$O$2:$O$319,"Listed")/E56)</x:f>
      </x:c>
      <x:c r="H56" s="257" t="str">
        <x:f>IF(E56=0,"",MINIFS(Inventory!$N$2:$N$319,Inventory!$G$2:$G$319,$A56,Inventory!$I$2:$I$319,$B56,Inventory!$J$2:$J$319,$C56,Inventory!$O$2:$O$319,"Listed"))</x:f>
      </x:c>
      <x:c r="I56" s="269" t="str">
        <x:f>IF(E56=0,"",MAXIFS(Inventory!$N$2:$N$319,Inventory!$G$2:$G$319,$A56,Inventory!$I$2:$I$319,$B56,Inventory!$J$2:$J$319,$C56,Inventory!$O$2:$O$319,"Listed"))</x:f>
      </x:c>
    </x:row>
    <x:row r="57">
      <x:c r="A57" s="48" t="str">
        <x:v>Used</x:v>
      </x:c>
      <x:c r="B57" s="49" t="str">
        <x:v>GMC</x:v>
      </x:c>
      <x:c r="C57" s="49" t="str">
        <x:v>Terrain</x:v>
      </x:c>
      <x:c r="D57" s="249" t="n">
        <x:f>COUNTIFS(Inventory!$G$2:$G$319,$A57,Inventory!$I$2:$I$319,$B57,Inventory!$J$2:$J$319,$C57)</x:f>
        <x:v>2</x:v>
      </x:c>
      <x:c r="E57" s="249" t="n">
        <x:f>COUNTIFS(Inventory!$G$2:$G$319,$A57,Inventory!$I$2:$I$319,$B57,Inventory!$J$2:$J$319,$C57,Inventory!$O$2:$O$319,"Listed")</x:f>
        <x:v>0</x:v>
      </x:c>
      <x:c r="F57" s="249" t="n">
        <x:f>COUNTIFS(Inventory!$G$2:$G$319,$A57,Inventory!$I$2:$I$319,$B57,Inventory!$J$2:$J$319,$C57,Inventory!$O$2:$O$319,"Price not exposed")</x:f>
        <x:v>2</x:v>
      </x:c>
      <x:c r="G57" s="257" t="str">
        <x:f>IF(E57=0,"",SUMIFS(Inventory!$N$2:$N$319,Inventory!$G$2:$G$319,$A57,Inventory!$I$2:$I$319,$B57,Inventory!$J$2:$J$319,$C57,Inventory!$O$2:$O$319,"Listed")/E57)</x:f>
      </x:c>
      <x:c r="H57" s="257" t="str">
        <x:f>IF(E57=0,"",MINIFS(Inventory!$N$2:$N$319,Inventory!$G$2:$G$319,$A57,Inventory!$I$2:$I$319,$B57,Inventory!$J$2:$J$319,$C57,Inventory!$O$2:$O$319,"Listed"))</x:f>
      </x:c>
      <x:c r="I57" s="269" t="str">
        <x:f>IF(E57=0,"",MAXIFS(Inventory!$N$2:$N$319,Inventory!$G$2:$G$319,$A57,Inventory!$I$2:$I$319,$B57,Inventory!$J$2:$J$319,$C57,Inventory!$O$2:$O$319,"Listed"))</x:f>
      </x:c>
    </x:row>
    <x:row r="58">
      <x:c r="A58" s="48" t="str">
        <x:v>Used</x:v>
      </x:c>
      <x:c r="B58" s="49" t="str">
        <x:v>GMC</x:v>
      </x:c>
      <x:c r="C58" s="49" t="str">
        <x:v>Yukon</x:v>
      </x:c>
      <x:c r="D58" s="249" t="n">
        <x:f>COUNTIFS(Inventory!$G$2:$G$319,$A58,Inventory!$I$2:$I$319,$B58,Inventory!$J$2:$J$319,$C58)</x:f>
        <x:v>2</x:v>
      </x:c>
      <x:c r="E58" s="249" t="n">
        <x:f>COUNTIFS(Inventory!$G$2:$G$319,$A58,Inventory!$I$2:$I$319,$B58,Inventory!$J$2:$J$319,$C58,Inventory!$O$2:$O$319,"Listed")</x:f>
        <x:v>1</x:v>
      </x:c>
      <x:c r="F58" s="249" t="n">
        <x:f>COUNTIFS(Inventory!$G$2:$G$319,$A58,Inventory!$I$2:$I$319,$B58,Inventory!$J$2:$J$319,$C58,Inventory!$O$2:$O$319,"Price not exposed")</x:f>
        <x:v>1</x:v>
      </x:c>
      <x:c r="G58" s="257" t="n">
        <x:f>IF(E58=0,"",SUMIFS(Inventory!$N$2:$N$319,Inventory!$G$2:$G$319,$A58,Inventory!$I$2:$I$319,$B58,Inventory!$J$2:$J$319,$C58,Inventory!$O$2:$O$319,"Listed")/E58)</x:f>
        <x:v>42395</x:v>
      </x:c>
      <x:c r="H58" s="257" t="n">
        <x:f>IF(E58=0,"",MINIFS(Inventory!$N$2:$N$319,Inventory!$G$2:$G$319,$A58,Inventory!$I$2:$I$319,$B58,Inventory!$J$2:$J$319,$C58,Inventory!$O$2:$O$319,"Listed"))</x:f>
        <x:v>42395</x:v>
      </x:c>
      <x:c r="I58" s="269" t="n">
        <x:f>IF(E58=0,"",MAXIFS(Inventory!$N$2:$N$319,Inventory!$G$2:$G$319,$A58,Inventory!$I$2:$I$319,$B58,Inventory!$J$2:$J$319,$C58,Inventory!$O$2:$O$319,"Listed"))</x:f>
        <x:v>42395</x:v>
      </x:c>
    </x:row>
    <x:row r="59">
      <x:c r="A59" s="48" t="str">
        <x:v>Used</x:v>
      </x:c>
      <x:c r="B59" s="49" t="str">
        <x:v>Honda</x:v>
      </x:c>
      <x:c r="C59" s="49" t="str">
        <x:v>Pilot</x:v>
      </x:c>
      <x:c r="D59" s="249" t="n">
        <x:f>COUNTIFS(Inventory!$G$2:$G$319,$A59,Inventory!$I$2:$I$319,$B59,Inventory!$J$2:$J$319,$C59)</x:f>
        <x:v>2</x:v>
      </x:c>
      <x:c r="E59" s="249" t="n">
        <x:f>COUNTIFS(Inventory!$G$2:$G$319,$A59,Inventory!$I$2:$I$319,$B59,Inventory!$J$2:$J$319,$C59,Inventory!$O$2:$O$319,"Listed")</x:f>
        <x:v>0</x:v>
      </x:c>
      <x:c r="F59" s="249" t="n">
        <x:f>COUNTIFS(Inventory!$G$2:$G$319,$A59,Inventory!$I$2:$I$319,$B59,Inventory!$J$2:$J$319,$C59,Inventory!$O$2:$O$319,"Price not exposed")</x:f>
        <x:v>2</x:v>
      </x:c>
      <x:c r="G59" s="257" t="str">
        <x:f>IF(E59=0,"",SUMIFS(Inventory!$N$2:$N$319,Inventory!$G$2:$G$319,$A59,Inventory!$I$2:$I$319,$B59,Inventory!$J$2:$J$319,$C59,Inventory!$O$2:$O$319,"Listed")/E59)</x:f>
      </x:c>
      <x:c r="H59" s="257" t="str">
        <x:f>IF(E59=0,"",MINIFS(Inventory!$N$2:$N$319,Inventory!$G$2:$G$319,$A59,Inventory!$I$2:$I$319,$B59,Inventory!$J$2:$J$319,$C59,Inventory!$O$2:$O$319,"Listed"))</x:f>
      </x:c>
      <x:c r="I59" s="269" t="str">
        <x:f>IF(E59=0,"",MAXIFS(Inventory!$N$2:$N$319,Inventory!$G$2:$G$319,$A59,Inventory!$I$2:$I$319,$B59,Inventory!$J$2:$J$319,$C59,Inventory!$O$2:$O$319,"Listed"))</x:f>
      </x:c>
    </x:row>
    <x:row r="60">
      <x:c r="A60" s="48" t="str">
        <x:v>Used</x:v>
      </x:c>
      <x:c r="B60" s="49" t="str">
        <x:v>Hyundai</x:v>
      </x:c>
      <x:c r="C60" s="49" t="str">
        <x:v>Elantra</x:v>
      </x:c>
      <x:c r="D60" s="249" t="n">
        <x:f>COUNTIFS(Inventory!$G$2:$G$319,$A60,Inventory!$I$2:$I$319,$B60,Inventory!$J$2:$J$319,$C60)</x:f>
        <x:v>2</x:v>
      </x:c>
      <x:c r="E60" s="249" t="n">
        <x:f>COUNTIFS(Inventory!$G$2:$G$319,$A60,Inventory!$I$2:$I$319,$B60,Inventory!$J$2:$J$319,$C60,Inventory!$O$2:$O$319,"Listed")</x:f>
        <x:v>0</x:v>
      </x:c>
      <x:c r="F60" s="249" t="n">
        <x:f>COUNTIFS(Inventory!$G$2:$G$319,$A60,Inventory!$I$2:$I$319,$B60,Inventory!$J$2:$J$319,$C60,Inventory!$O$2:$O$319,"Price not exposed")</x:f>
        <x:v>2</x:v>
      </x:c>
      <x:c r="G60" s="257" t="str">
        <x:f>IF(E60=0,"",SUMIFS(Inventory!$N$2:$N$319,Inventory!$G$2:$G$319,$A60,Inventory!$I$2:$I$319,$B60,Inventory!$J$2:$J$319,$C60,Inventory!$O$2:$O$319,"Listed")/E60)</x:f>
      </x:c>
      <x:c r="H60" s="257" t="str">
        <x:f>IF(E60=0,"",MINIFS(Inventory!$N$2:$N$319,Inventory!$G$2:$G$319,$A60,Inventory!$I$2:$I$319,$B60,Inventory!$J$2:$J$319,$C60,Inventory!$O$2:$O$319,"Listed"))</x:f>
      </x:c>
      <x:c r="I60" s="269" t="str">
        <x:f>IF(E60=0,"",MAXIFS(Inventory!$N$2:$N$319,Inventory!$G$2:$G$319,$A60,Inventory!$I$2:$I$319,$B60,Inventory!$J$2:$J$319,$C60,Inventory!$O$2:$O$319,"Listed"))</x:f>
      </x:c>
    </x:row>
    <x:row r="61">
      <x:c r="A61" s="48" t="str">
        <x:v>Used</x:v>
      </x:c>
      <x:c r="B61" s="49" t="str">
        <x:v>Hyundai</x:v>
      </x:c>
      <x:c r="C61" s="49" t="str">
        <x:v>Santa Fe</x:v>
      </x:c>
      <x:c r="D61" s="249" t="n">
        <x:f>COUNTIFS(Inventory!$G$2:$G$319,$A61,Inventory!$I$2:$I$319,$B61,Inventory!$J$2:$J$319,$C61)</x:f>
        <x:v>2</x:v>
      </x:c>
      <x:c r="E61" s="249" t="n">
        <x:f>COUNTIFS(Inventory!$G$2:$G$319,$A61,Inventory!$I$2:$I$319,$B61,Inventory!$J$2:$J$319,$C61,Inventory!$O$2:$O$319,"Listed")</x:f>
        <x:v>0</x:v>
      </x:c>
      <x:c r="F61" s="249" t="n">
        <x:f>COUNTIFS(Inventory!$G$2:$G$319,$A61,Inventory!$I$2:$I$319,$B61,Inventory!$J$2:$J$319,$C61,Inventory!$O$2:$O$319,"Price not exposed")</x:f>
        <x:v>2</x:v>
      </x:c>
      <x:c r="G61" s="257" t="str">
        <x:f>IF(E61=0,"",SUMIFS(Inventory!$N$2:$N$319,Inventory!$G$2:$G$319,$A61,Inventory!$I$2:$I$319,$B61,Inventory!$J$2:$J$319,$C61,Inventory!$O$2:$O$319,"Listed")/E61)</x:f>
      </x:c>
      <x:c r="H61" s="257" t="str">
        <x:f>IF(E61=0,"",MINIFS(Inventory!$N$2:$N$319,Inventory!$G$2:$G$319,$A61,Inventory!$I$2:$I$319,$B61,Inventory!$J$2:$J$319,$C61,Inventory!$O$2:$O$319,"Listed"))</x:f>
      </x:c>
      <x:c r="I61" s="269" t="str">
        <x:f>IF(E61=0,"",MAXIFS(Inventory!$N$2:$N$319,Inventory!$G$2:$G$319,$A61,Inventory!$I$2:$I$319,$B61,Inventory!$J$2:$J$319,$C61,Inventory!$O$2:$O$319,"Listed"))</x:f>
      </x:c>
    </x:row>
    <x:row r="62">
      <x:c r="A62" s="48" t="str">
        <x:v>Used</x:v>
      </x:c>
      <x:c r="B62" s="49" t="str">
        <x:v>Kia</x:v>
      </x:c>
      <x:c r="C62" s="49" t="str">
        <x:v>Sorento</x:v>
      </x:c>
      <x:c r="D62" s="249" t="n">
        <x:f>COUNTIFS(Inventory!$G$2:$G$319,$A62,Inventory!$I$2:$I$319,$B62,Inventory!$J$2:$J$319,$C62)</x:f>
        <x:v>2</x:v>
      </x:c>
      <x:c r="E62" s="249" t="n">
        <x:f>COUNTIFS(Inventory!$G$2:$G$319,$A62,Inventory!$I$2:$I$319,$B62,Inventory!$J$2:$J$319,$C62,Inventory!$O$2:$O$319,"Listed")</x:f>
        <x:v>0</x:v>
      </x:c>
      <x:c r="F62" s="249" t="n">
        <x:f>COUNTIFS(Inventory!$G$2:$G$319,$A62,Inventory!$I$2:$I$319,$B62,Inventory!$J$2:$J$319,$C62,Inventory!$O$2:$O$319,"Price not exposed")</x:f>
        <x:v>2</x:v>
      </x:c>
      <x:c r="G62" s="257" t="str">
        <x:f>IF(E62=0,"",SUMIFS(Inventory!$N$2:$N$319,Inventory!$G$2:$G$319,$A62,Inventory!$I$2:$I$319,$B62,Inventory!$J$2:$J$319,$C62,Inventory!$O$2:$O$319,"Listed")/E62)</x:f>
      </x:c>
      <x:c r="H62" s="257" t="str">
        <x:f>IF(E62=0,"",MINIFS(Inventory!$N$2:$N$319,Inventory!$G$2:$G$319,$A62,Inventory!$I$2:$I$319,$B62,Inventory!$J$2:$J$319,$C62,Inventory!$O$2:$O$319,"Listed"))</x:f>
      </x:c>
      <x:c r="I62" s="269" t="str">
        <x:f>IF(E62=0,"",MAXIFS(Inventory!$N$2:$N$319,Inventory!$G$2:$G$319,$A62,Inventory!$I$2:$I$319,$B62,Inventory!$J$2:$J$319,$C62,Inventory!$O$2:$O$319,"Listed"))</x:f>
      </x:c>
    </x:row>
    <x:row r="63">
      <x:c r="A63" s="48" t="str">
        <x:v>Used</x:v>
      </x:c>
      <x:c r="B63" s="49" t="str">
        <x:v>Mercedes-Benz</x:v>
      </x:c>
      <x:c r="C63" s="49" t="str">
        <x:v>GLA</x:v>
      </x:c>
      <x:c r="D63" s="249" t="n">
        <x:f>COUNTIFS(Inventory!$G$2:$G$319,$A63,Inventory!$I$2:$I$319,$B63,Inventory!$J$2:$J$319,$C63)</x:f>
        <x:v>2</x:v>
      </x:c>
      <x:c r="E63" s="249" t="n">
        <x:f>COUNTIFS(Inventory!$G$2:$G$319,$A63,Inventory!$I$2:$I$319,$B63,Inventory!$J$2:$J$319,$C63,Inventory!$O$2:$O$319,"Listed")</x:f>
        <x:v>0</x:v>
      </x:c>
      <x:c r="F63" s="249" t="n">
        <x:f>COUNTIFS(Inventory!$G$2:$G$319,$A63,Inventory!$I$2:$I$319,$B63,Inventory!$J$2:$J$319,$C63,Inventory!$O$2:$O$319,"Price not exposed")</x:f>
        <x:v>2</x:v>
      </x:c>
      <x:c r="G63" s="257" t="str">
        <x:f>IF(E63=0,"",SUMIFS(Inventory!$N$2:$N$319,Inventory!$G$2:$G$319,$A63,Inventory!$I$2:$I$319,$B63,Inventory!$J$2:$J$319,$C63,Inventory!$O$2:$O$319,"Listed")/E63)</x:f>
      </x:c>
      <x:c r="H63" s="257" t="str">
        <x:f>IF(E63=0,"",MINIFS(Inventory!$N$2:$N$319,Inventory!$G$2:$G$319,$A63,Inventory!$I$2:$I$319,$B63,Inventory!$J$2:$J$319,$C63,Inventory!$O$2:$O$319,"Listed"))</x:f>
      </x:c>
      <x:c r="I63" s="269" t="str">
        <x:f>IF(E63=0,"",MAXIFS(Inventory!$N$2:$N$319,Inventory!$G$2:$G$319,$A63,Inventory!$I$2:$I$319,$B63,Inventory!$J$2:$J$319,$C63,Inventory!$O$2:$O$319,"Listed"))</x:f>
      </x:c>
    </x:row>
    <x:row r="64">
      <x:c r="A64" s="48" t="str">
        <x:v>Used</x:v>
      </x:c>
      <x:c r="B64" s="49" t="str">
        <x:v>Mercedes-Benz</x:v>
      </x:c>
      <x:c r="C64" s="49" t="str">
        <x:v>GLE</x:v>
      </x:c>
      <x:c r="D64" s="249" t="n">
        <x:f>COUNTIFS(Inventory!$G$2:$G$319,$A64,Inventory!$I$2:$I$319,$B64,Inventory!$J$2:$J$319,$C64)</x:f>
        <x:v>2</x:v>
      </x:c>
      <x:c r="E64" s="249" t="n">
        <x:f>COUNTIFS(Inventory!$G$2:$G$319,$A64,Inventory!$I$2:$I$319,$B64,Inventory!$J$2:$J$319,$C64,Inventory!$O$2:$O$319,"Listed")</x:f>
        <x:v>1</x:v>
      </x:c>
      <x:c r="F64" s="249" t="n">
        <x:f>COUNTIFS(Inventory!$G$2:$G$319,$A64,Inventory!$I$2:$I$319,$B64,Inventory!$J$2:$J$319,$C64,Inventory!$O$2:$O$319,"Price not exposed")</x:f>
        <x:v>1</x:v>
      </x:c>
      <x:c r="G64" s="257" t="n">
        <x:f>IF(E64=0,"",SUMIFS(Inventory!$N$2:$N$319,Inventory!$G$2:$G$319,$A64,Inventory!$I$2:$I$319,$B64,Inventory!$J$2:$J$319,$C64,Inventory!$O$2:$O$319,"Listed")/E64)</x:f>
        <x:v>47995</x:v>
      </x:c>
      <x:c r="H64" s="257" t="n">
        <x:f>IF(E64=0,"",MINIFS(Inventory!$N$2:$N$319,Inventory!$G$2:$G$319,$A64,Inventory!$I$2:$I$319,$B64,Inventory!$J$2:$J$319,$C64,Inventory!$O$2:$O$319,"Listed"))</x:f>
        <x:v>47995</x:v>
      </x:c>
      <x:c r="I64" s="269" t="n">
        <x:f>IF(E64=0,"",MAXIFS(Inventory!$N$2:$N$319,Inventory!$G$2:$G$319,$A64,Inventory!$I$2:$I$319,$B64,Inventory!$J$2:$J$319,$C64,Inventory!$O$2:$O$319,"Listed"))</x:f>
        <x:v>47995</x:v>
      </x:c>
    </x:row>
    <x:row r="65">
      <x:c r="A65" s="48" t="str">
        <x:v>Used</x:v>
      </x:c>
      <x:c r="B65" s="49" t="str">
        <x:v>Nissan</x:v>
      </x:c>
      <x:c r="C65" s="49" t="str">
        <x:v>Versa</x:v>
      </x:c>
      <x:c r="D65" s="249" t="n">
        <x:f>COUNTIFS(Inventory!$G$2:$G$319,$A65,Inventory!$I$2:$I$319,$B65,Inventory!$J$2:$J$319,$C65)</x:f>
        <x:v>2</x:v>
      </x:c>
      <x:c r="E65" s="249" t="n">
        <x:f>COUNTIFS(Inventory!$G$2:$G$319,$A65,Inventory!$I$2:$I$319,$B65,Inventory!$J$2:$J$319,$C65,Inventory!$O$2:$O$319,"Listed")</x:f>
        <x:v>1</x:v>
      </x:c>
      <x:c r="F65" s="249" t="n">
        <x:f>COUNTIFS(Inventory!$G$2:$G$319,$A65,Inventory!$I$2:$I$319,$B65,Inventory!$J$2:$J$319,$C65,Inventory!$O$2:$O$319,"Price not exposed")</x:f>
        <x:v>1</x:v>
      </x:c>
      <x:c r="G65" s="257" t="n">
        <x:f>IF(E65=0,"",SUMIFS(Inventory!$N$2:$N$319,Inventory!$G$2:$G$319,$A65,Inventory!$I$2:$I$319,$B65,Inventory!$J$2:$J$319,$C65,Inventory!$O$2:$O$319,"Listed")/E65)</x:f>
        <x:v>7895</x:v>
      </x:c>
      <x:c r="H65" s="257" t="n">
        <x:f>IF(E65=0,"",MINIFS(Inventory!$N$2:$N$319,Inventory!$G$2:$G$319,$A65,Inventory!$I$2:$I$319,$B65,Inventory!$J$2:$J$319,$C65,Inventory!$O$2:$O$319,"Listed"))</x:f>
        <x:v>7895</x:v>
      </x:c>
      <x:c r="I65" s="269" t="n">
        <x:f>IF(E65=0,"",MAXIFS(Inventory!$N$2:$N$319,Inventory!$G$2:$G$319,$A65,Inventory!$I$2:$I$319,$B65,Inventory!$J$2:$J$319,$C65,Inventory!$O$2:$O$319,"Listed"))</x:f>
        <x:v>7895</x:v>
      </x:c>
    </x:row>
    <x:row r="66">
      <x:c r="A66" s="48" t="str">
        <x:v>Used</x:v>
      </x:c>
      <x:c r="B66" s="49" t="str">
        <x:v>Subaru</x:v>
      </x:c>
      <x:c r="C66" s="49" t="str">
        <x:v>Legacy</x:v>
      </x:c>
      <x:c r="D66" s="249" t="n">
        <x:f>COUNTIFS(Inventory!$G$2:$G$319,$A66,Inventory!$I$2:$I$319,$B66,Inventory!$J$2:$J$319,$C66)</x:f>
        <x:v>2</x:v>
      </x:c>
      <x:c r="E66" s="249" t="n">
        <x:f>COUNTIFS(Inventory!$G$2:$G$319,$A66,Inventory!$I$2:$I$319,$B66,Inventory!$J$2:$J$319,$C66,Inventory!$O$2:$O$319,"Listed")</x:f>
        <x:v>0</x:v>
      </x:c>
      <x:c r="F66" s="249" t="n">
        <x:f>COUNTIFS(Inventory!$G$2:$G$319,$A66,Inventory!$I$2:$I$319,$B66,Inventory!$J$2:$J$319,$C66,Inventory!$O$2:$O$319,"Price not exposed")</x:f>
        <x:v>2</x:v>
      </x:c>
      <x:c r="G66" s="257" t="str">
        <x:f>IF(E66=0,"",SUMIFS(Inventory!$N$2:$N$319,Inventory!$G$2:$G$319,$A66,Inventory!$I$2:$I$319,$B66,Inventory!$J$2:$J$319,$C66,Inventory!$O$2:$O$319,"Listed")/E66)</x:f>
      </x:c>
      <x:c r="H66" s="257" t="str">
        <x:f>IF(E66=0,"",MINIFS(Inventory!$N$2:$N$319,Inventory!$G$2:$G$319,$A66,Inventory!$I$2:$I$319,$B66,Inventory!$J$2:$J$319,$C66,Inventory!$O$2:$O$319,"Listed"))</x:f>
      </x:c>
      <x:c r="I66" s="269" t="str">
        <x:f>IF(E66=0,"",MAXIFS(Inventory!$N$2:$N$319,Inventory!$G$2:$G$319,$A66,Inventory!$I$2:$I$319,$B66,Inventory!$J$2:$J$319,$C66,Inventory!$O$2:$O$319,"Listed"))</x:f>
      </x:c>
    </x:row>
    <x:row r="67">
      <x:c r="A67" s="48" t="str">
        <x:v>Used</x:v>
      </x:c>
      <x:c r="B67" s="49" t="str">
        <x:v>Subaru</x:v>
      </x:c>
      <x:c r="C67" s="49" t="str">
        <x:v>Outback</x:v>
      </x:c>
      <x:c r="D67" s="249" t="n">
        <x:f>COUNTIFS(Inventory!$G$2:$G$319,$A67,Inventory!$I$2:$I$319,$B67,Inventory!$J$2:$J$319,$C67)</x:f>
        <x:v>2</x:v>
      </x:c>
      <x:c r="E67" s="249" t="n">
        <x:f>COUNTIFS(Inventory!$G$2:$G$319,$A67,Inventory!$I$2:$I$319,$B67,Inventory!$J$2:$J$319,$C67,Inventory!$O$2:$O$319,"Listed")</x:f>
        <x:v>0</x:v>
      </x:c>
      <x:c r="F67" s="249" t="n">
        <x:f>COUNTIFS(Inventory!$G$2:$G$319,$A67,Inventory!$I$2:$I$319,$B67,Inventory!$J$2:$J$319,$C67,Inventory!$O$2:$O$319,"Price not exposed")</x:f>
        <x:v>2</x:v>
      </x:c>
      <x:c r="G67" s="257" t="str">
        <x:f>IF(E67=0,"",SUMIFS(Inventory!$N$2:$N$319,Inventory!$G$2:$G$319,$A67,Inventory!$I$2:$I$319,$B67,Inventory!$J$2:$J$319,$C67,Inventory!$O$2:$O$319,"Listed")/E67)</x:f>
      </x:c>
      <x:c r="H67" s="257" t="str">
        <x:f>IF(E67=0,"",MINIFS(Inventory!$N$2:$N$319,Inventory!$G$2:$G$319,$A67,Inventory!$I$2:$I$319,$B67,Inventory!$J$2:$J$319,$C67,Inventory!$O$2:$O$319,"Listed"))</x:f>
      </x:c>
      <x:c r="I67" s="269" t="str">
        <x:f>IF(E67=0,"",MAXIFS(Inventory!$N$2:$N$319,Inventory!$G$2:$G$319,$A67,Inventory!$I$2:$I$319,$B67,Inventory!$J$2:$J$319,$C67,Inventory!$O$2:$O$319,"Listed"))</x:f>
      </x:c>
    </x:row>
    <x:row r="68">
      <x:c r="A68" s="48" t="str">
        <x:v>Used</x:v>
      </x:c>
      <x:c r="B68" s="49" t="str">
        <x:v>Volkswagen</x:v>
      </x:c>
      <x:c r="C68" s="49" t="str">
        <x:v>Tiguan</x:v>
      </x:c>
      <x:c r="D68" s="249" t="n">
        <x:f>COUNTIFS(Inventory!$G$2:$G$319,$A68,Inventory!$I$2:$I$319,$B68,Inventory!$J$2:$J$319,$C68)</x:f>
        <x:v>2</x:v>
      </x:c>
      <x:c r="E68" s="249" t="n">
        <x:f>COUNTIFS(Inventory!$G$2:$G$319,$A68,Inventory!$I$2:$I$319,$B68,Inventory!$J$2:$J$319,$C68,Inventory!$O$2:$O$319,"Listed")</x:f>
        <x:v>0</x:v>
      </x:c>
      <x:c r="F68" s="249" t="n">
        <x:f>COUNTIFS(Inventory!$G$2:$G$319,$A68,Inventory!$I$2:$I$319,$B68,Inventory!$J$2:$J$319,$C68,Inventory!$O$2:$O$319,"Price not exposed")</x:f>
        <x:v>2</x:v>
      </x:c>
      <x:c r="G68" s="257" t="str">
        <x:f>IF(E68=0,"",SUMIFS(Inventory!$N$2:$N$319,Inventory!$G$2:$G$319,$A68,Inventory!$I$2:$I$319,$B68,Inventory!$J$2:$J$319,$C68,Inventory!$O$2:$O$319,"Listed")/E68)</x:f>
      </x:c>
      <x:c r="H68" s="257" t="str">
        <x:f>IF(E68=0,"",MINIFS(Inventory!$N$2:$N$319,Inventory!$G$2:$G$319,$A68,Inventory!$I$2:$I$319,$B68,Inventory!$J$2:$J$319,$C68,Inventory!$O$2:$O$319,"Listed"))</x:f>
      </x:c>
      <x:c r="I68" s="269" t="str">
        <x:f>IF(E68=0,"",MAXIFS(Inventory!$N$2:$N$319,Inventory!$G$2:$G$319,$A68,Inventory!$I$2:$I$319,$B68,Inventory!$J$2:$J$319,$C68,Inventory!$O$2:$O$319,"Listed"))</x:f>
      </x:c>
    </x:row>
    <x:row r="69">
      <x:c r="A69" s="48" t="str">
        <x:v>Used</x:v>
      </x:c>
      <x:c r="B69" s="49" t="str">
        <x:v>Acura</x:v>
      </x:c>
      <x:c r="C69" s="49" t="str">
        <x:v>TLX</x:v>
      </x:c>
      <x:c r="D69" s="249" t="n">
        <x:f>COUNTIFS(Inventory!$G$2:$G$319,$A69,Inventory!$I$2:$I$319,$B69,Inventory!$J$2:$J$319,$C69)</x:f>
        <x:v>1</x:v>
      </x:c>
      <x:c r="E69" s="249" t="n">
        <x:f>COUNTIFS(Inventory!$G$2:$G$319,$A69,Inventory!$I$2:$I$319,$B69,Inventory!$J$2:$J$319,$C69,Inventory!$O$2:$O$319,"Listed")</x:f>
        <x:v>0</x:v>
      </x:c>
      <x:c r="F69" s="249" t="n">
        <x:f>COUNTIFS(Inventory!$G$2:$G$319,$A69,Inventory!$I$2:$I$319,$B69,Inventory!$J$2:$J$319,$C69,Inventory!$O$2:$O$319,"Price not exposed")</x:f>
        <x:v>1</x:v>
      </x:c>
      <x:c r="G69" s="257" t="str">
        <x:f>IF(E69=0,"",SUMIFS(Inventory!$N$2:$N$319,Inventory!$G$2:$G$319,$A69,Inventory!$I$2:$I$319,$B69,Inventory!$J$2:$J$319,$C69,Inventory!$O$2:$O$319,"Listed")/E69)</x:f>
      </x:c>
      <x:c r="H69" s="257" t="str">
        <x:f>IF(E69=0,"",MINIFS(Inventory!$N$2:$N$319,Inventory!$G$2:$G$319,$A69,Inventory!$I$2:$I$319,$B69,Inventory!$J$2:$J$319,$C69,Inventory!$O$2:$O$319,"Listed"))</x:f>
      </x:c>
      <x:c r="I69" s="269" t="str">
        <x:f>IF(E69=0,"",MAXIFS(Inventory!$N$2:$N$319,Inventory!$G$2:$G$319,$A69,Inventory!$I$2:$I$319,$B69,Inventory!$J$2:$J$319,$C69,Inventory!$O$2:$O$319,"Listed"))</x:f>
      </x:c>
    </x:row>
    <x:row r="70">
      <x:c r="A70" s="48" t="str">
        <x:v>Used</x:v>
      </x:c>
      <x:c r="B70" s="49" t="str">
        <x:v>Audi</x:v>
      </x:c>
      <x:c r="C70" s="49" t="str">
        <x:v>A3</x:v>
      </x:c>
      <x:c r="D70" s="249" t="n">
        <x:f>COUNTIFS(Inventory!$G$2:$G$319,$A70,Inventory!$I$2:$I$319,$B70,Inventory!$J$2:$J$319,$C70)</x:f>
        <x:v>1</x:v>
      </x:c>
      <x:c r="E70" s="249" t="n">
        <x:f>COUNTIFS(Inventory!$G$2:$G$319,$A70,Inventory!$I$2:$I$319,$B70,Inventory!$J$2:$J$319,$C70,Inventory!$O$2:$O$319,"Listed")</x:f>
        <x:v>0</x:v>
      </x:c>
      <x:c r="F70" s="249" t="n">
        <x:f>COUNTIFS(Inventory!$G$2:$G$319,$A70,Inventory!$I$2:$I$319,$B70,Inventory!$J$2:$J$319,$C70,Inventory!$O$2:$O$319,"Price not exposed")</x:f>
        <x:v>1</x:v>
      </x:c>
      <x:c r="G70" s="257" t="str">
        <x:f>IF(E70=0,"",SUMIFS(Inventory!$N$2:$N$319,Inventory!$G$2:$G$319,$A70,Inventory!$I$2:$I$319,$B70,Inventory!$J$2:$J$319,$C70,Inventory!$O$2:$O$319,"Listed")/E70)</x:f>
      </x:c>
      <x:c r="H70" s="257" t="str">
        <x:f>IF(E70=0,"",MINIFS(Inventory!$N$2:$N$319,Inventory!$G$2:$G$319,$A70,Inventory!$I$2:$I$319,$B70,Inventory!$J$2:$J$319,$C70,Inventory!$O$2:$O$319,"Listed"))</x:f>
      </x:c>
      <x:c r="I70" s="269" t="str">
        <x:f>IF(E70=0,"",MAXIFS(Inventory!$N$2:$N$319,Inventory!$G$2:$G$319,$A70,Inventory!$I$2:$I$319,$B70,Inventory!$J$2:$J$319,$C70,Inventory!$O$2:$O$319,"Listed"))</x:f>
      </x:c>
    </x:row>
    <x:row r="71">
      <x:c r="A71" s="48" t="str">
        <x:v>Used</x:v>
      </x:c>
      <x:c r="B71" s="49" t="str">
        <x:v>Audi</x:v>
      </x:c>
      <x:c r="C71" s="49" t="str">
        <x:v>A4</x:v>
      </x:c>
      <x:c r="D71" s="249" t="n">
        <x:f>COUNTIFS(Inventory!$G$2:$G$319,$A71,Inventory!$I$2:$I$319,$B71,Inventory!$J$2:$J$319,$C71)</x:f>
        <x:v>1</x:v>
      </x:c>
      <x:c r="E71" s="249" t="n">
        <x:f>COUNTIFS(Inventory!$G$2:$G$319,$A71,Inventory!$I$2:$I$319,$B71,Inventory!$J$2:$J$319,$C71,Inventory!$O$2:$O$319,"Listed")</x:f>
        <x:v>0</x:v>
      </x:c>
      <x:c r="F71" s="249" t="n">
        <x:f>COUNTIFS(Inventory!$G$2:$G$319,$A71,Inventory!$I$2:$I$319,$B71,Inventory!$J$2:$J$319,$C71,Inventory!$O$2:$O$319,"Price not exposed")</x:f>
        <x:v>1</x:v>
      </x:c>
      <x:c r="G71" s="257" t="str">
        <x:f>IF(E71=0,"",SUMIFS(Inventory!$N$2:$N$319,Inventory!$G$2:$G$319,$A71,Inventory!$I$2:$I$319,$B71,Inventory!$J$2:$J$319,$C71,Inventory!$O$2:$O$319,"Listed")/E71)</x:f>
      </x:c>
      <x:c r="H71" s="257" t="str">
        <x:f>IF(E71=0,"",MINIFS(Inventory!$N$2:$N$319,Inventory!$G$2:$G$319,$A71,Inventory!$I$2:$I$319,$B71,Inventory!$J$2:$J$319,$C71,Inventory!$O$2:$O$319,"Listed"))</x:f>
      </x:c>
      <x:c r="I71" s="269" t="str">
        <x:f>IF(E71=0,"",MAXIFS(Inventory!$N$2:$N$319,Inventory!$G$2:$G$319,$A71,Inventory!$I$2:$I$319,$B71,Inventory!$J$2:$J$319,$C71,Inventory!$O$2:$O$319,"Listed"))</x:f>
      </x:c>
    </x:row>
    <x:row r="72">
      <x:c r="A72" s="48" t="str">
        <x:v>Used</x:v>
      </x:c>
      <x:c r="B72" s="49" t="str">
        <x:v>Audi</x:v>
      </x:c>
      <x:c r="C72" s="49" t="str">
        <x:v>A8</x:v>
      </x:c>
      <x:c r="D72" s="249" t="n">
        <x:f>COUNTIFS(Inventory!$G$2:$G$319,$A72,Inventory!$I$2:$I$319,$B72,Inventory!$J$2:$J$319,$C72)</x:f>
        <x:v>1</x:v>
      </x:c>
      <x:c r="E72" s="249" t="n">
        <x:f>COUNTIFS(Inventory!$G$2:$G$319,$A72,Inventory!$I$2:$I$319,$B72,Inventory!$J$2:$J$319,$C72,Inventory!$O$2:$O$319,"Listed")</x:f>
        <x:v>0</x:v>
      </x:c>
      <x:c r="F72" s="249" t="n">
        <x:f>COUNTIFS(Inventory!$G$2:$G$319,$A72,Inventory!$I$2:$I$319,$B72,Inventory!$J$2:$J$319,$C72,Inventory!$O$2:$O$319,"Price not exposed")</x:f>
        <x:v>1</x:v>
      </x:c>
      <x:c r="G72" s="257" t="str">
        <x:f>IF(E72=0,"",SUMIFS(Inventory!$N$2:$N$319,Inventory!$G$2:$G$319,$A72,Inventory!$I$2:$I$319,$B72,Inventory!$J$2:$J$319,$C72,Inventory!$O$2:$O$319,"Listed")/E72)</x:f>
      </x:c>
      <x:c r="H72" s="257" t="str">
        <x:f>IF(E72=0,"",MINIFS(Inventory!$N$2:$N$319,Inventory!$G$2:$G$319,$A72,Inventory!$I$2:$I$319,$B72,Inventory!$J$2:$J$319,$C72,Inventory!$O$2:$O$319,"Listed"))</x:f>
      </x:c>
      <x:c r="I72" s="269" t="str">
        <x:f>IF(E72=0,"",MAXIFS(Inventory!$N$2:$N$319,Inventory!$G$2:$G$319,$A72,Inventory!$I$2:$I$319,$B72,Inventory!$J$2:$J$319,$C72,Inventory!$O$2:$O$319,"Listed"))</x:f>
      </x:c>
    </x:row>
    <x:row r="73">
      <x:c r="A73" s="48" t="str">
        <x:v>Used</x:v>
      </x:c>
      <x:c r="B73" s="49" t="str">
        <x:v>Audi</x:v>
      </x:c>
      <x:c r="C73" s="49" t="str">
        <x:v>SQ8</x:v>
      </x:c>
      <x:c r="D73" s="249" t="n">
        <x:f>COUNTIFS(Inventory!$G$2:$G$319,$A73,Inventory!$I$2:$I$319,$B73,Inventory!$J$2:$J$319,$C73)</x:f>
        <x:v>1</x:v>
      </x:c>
      <x:c r="E73" s="249" t="n">
        <x:f>COUNTIFS(Inventory!$G$2:$G$319,$A73,Inventory!$I$2:$I$319,$B73,Inventory!$J$2:$J$319,$C73,Inventory!$O$2:$O$319,"Listed")</x:f>
        <x:v>0</x:v>
      </x:c>
      <x:c r="F73" s="249" t="n">
        <x:f>COUNTIFS(Inventory!$G$2:$G$319,$A73,Inventory!$I$2:$I$319,$B73,Inventory!$J$2:$J$319,$C73,Inventory!$O$2:$O$319,"Price not exposed")</x:f>
        <x:v>1</x:v>
      </x:c>
      <x:c r="G73" s="257" t="str">
        <x:f>IF(E73=0,"",SUMIFS(Inventory!$N$2:$N$319,Inventory!$G$2:$G$319,$A73,Inventory!$I$2:$I$319,$B73,Inventory!$J$2:$J$319,$C73,Inventory!$O$2:$O$319,"Listed")/E73)</x:f>
      </x:c>
      <x:c r="H73" s="257" t="str">
        <x:f>IF(E73=0,"",MINIFS(Inventory!$N$2:$N$319,Inventory!$G$2:$G$319,$A73,Inventory!$I$2:$I$319,$B73,Inventory!$J$2:$J$319,$C73,Inventory!$O$2:$O$319,"Listed"))</x:f>
      </x:c>
      <x:c r="I73" s="269" t="str">
        <x:f>IF(E73=0,"",MAXIFS(Inventory!$N$2:$N$319,Inventory!$G$2:$G$319,$A73,Inventory!$I$2:$I$319,$B73,Inventory!$J$2:$J$319,$C73,Inventory!$O$2:$O$319,"Listed"))</x:f>
      </x:c>
    </x:row>
    <x:row r="74">
      <x:c r="A74" s="48" t="str">
        <x:v>Used</x:v>
      </x:c>
      <x:c r="B74" s="49" t="str">
        <x:v>Audi</x:v>
      </x:c>
      <x:c r="C74" s="49" t="str">
        <x:v>allroad</x:v>
      </x:c>
      <x:c r="D74" s="249" t="n">
        <x:f>COUNTIFS(Inventory!$G$2:$G$319,$A74,Inventory!$I$2:$I$319,$B74,Inventory!$J$2:$J$319,$C74)</x:f>
        <x:v>1</x:v>
      </x:c>
      <x:c r="E74" s="249" t="n">
        <x:f>COUNTIFS(Inventory!$G$2:$G$319,$A74,Inventory!$I$2:$I$319,$B74,Inventory!$J$2:$J$319,$C74,Inventory!$O$2:$O$319,"Listed")</x:f>
        <x:v>0</x:v>
      </x:c>
      <x:c r="F74" s="249" t="n">
        <x:f>COUNTIFS(Inventory!$G$2:$G$319,$A74,Inventory!$I$2:$I$319,$B74,Inventory!$J$2:$J$319,$C74,Inventory!$O$2:$O$319,"Price not exposed")</x:f>
        <x:v>1</x:v>
      </x:c>
      <x:c r="G74" s="257" t="str">
        <x:f>IF(E74=0,"",SUMIFS(Inventory!$N$2:$N$319,Inventory!$G$2:$G$319,$A74,Inventory!$I$2:$I$319,$B74,Inventory!$J$2:$J$319,$C74,Inventory!$O$2:$O$319,"Listed")/E74)</x:f>
      </x:c>
      <x:c r="H74" s="257" t="str">
        <x:f>IF(E74=0,"",MINIFS(Inventory!$N$2:$N$319,Inventory!$G$2:$G$319,$A74,Inventory!$I$2:$I$319,$B74,Inventory!$J$2:$J$319,$C74,Inventory!$O$2:$O$319,"Listed"))</x:f>
      </x:c>
      <x:c r="I74" s="269" t="str">
        <x:f>IF(E74=0,"",MAXIFS(Inventory!$N$2:$N$319,Inventory!$G$2:$G$319,$A74,Inventory!$I$2:$I$319,$B74,Inventory!$J$2:$J$319,$C74,Inventory!$O$2:$O$319,"Listed"))</x:f>
      </x:c>
    </x:row>
    <x:row r="75">
      <x:c r="A75" s="48" t="str">
        <x:v>Used</x:v>
      </x:c>
      <x:c r="B75" s="49" t="str">
        <x:v>BMW</x:v>
      </x:c>
      <x:c r="C75" s="49" t="str">
        <x:v>2 Series</x:v>
      </x:c>
      <x:c r="D75" s="249" t="n">
        <x:f>COUNTIFS(Inventory!$G$2:$G$319,$A75,Inventory!$I$2:$I$319,$B75,Inventory!$J$2:$J$319,$C75)</x:f>
        <x:v>1</x:v>
      </x:c>
      <x:c r="E75" s="249" t="n">
        <x:f>COUNTIFS(Inventory!$G$2:$G$319,$A75,Inventory!$I$2:$I$319,$B75,Inventory!$J$2:$J$319,$C75,Inventory!$O$2:$O$319,"Listed")</x:f>
        <x:v>0</x:v>
      </x:c>
      <x:c r="F75" s="249" t="n">
        <x:f>COUNTIFS(Inventory!$G$2:$G$319,$A75,Inventory!$I$2:$I$319,$B75,Inventory!$J$2:$J$319,$C75,Inventory!$O$2:$O$319,"Price not exposed")</x:f>
        <x:v>1</x:v>
      </x:c>
      <x:c r="G75" s="257" t="str">
        <x:f>IF(E75=0,"",SUMIFS(Inventory!$N$2:$N$319,Inventory!$G$2:$G$319,$A75,Inventory!$I$2:$I$319,$B75,Inventory!$J$2:$J$319,$C75,Inventory!$O$2:$O$319,"Listed")/E75)</x:f>
      </x:c>
      <x:c r="H75" s="257" t="str">
        <x:f>IF(E75=0,"",MINIFS(Inventory!$N$2:$N$319,Inventory!$G$2:$G$319,$A75,Inventory!$I$2:$I$319,$B75,Inventory!$J$2:$J$319,$C75,Inventory!$O$2:$O$319,"Listed"))</x:f>
      </x:c>
      <x:c r="I75" s="269" t="str">
        <x:f>IF(E75=0,"",MAXIFS(Inventory!$N$2:$N$319,Inventory!$G$2:$G$319,$A75,Inventory!$I$2:$I$319,$B75,Inventory!$J$2:$J$319,$C75,Inventory!$O$2:$O$319,"Listed"))</x:f>
      </x:c>
    </x:row>
    <x:row r="76">
      <x:c r="A76" s="48" t="str">
        <x:v>Used</x:v>
      </x:c>
      <x:c r="B76" s="49" t="str">
        <x:v>BMW</x:v>
      </x:c>
      <x:c r="C76" s="49" t="str">
        <x:v>3 Series</x:v>
      </x:c>
      <x:c r="D76" s="249" t="n">
        <x:f>COUNTIFS(Inventory!$G$2:$G$319,$A76,Inventory!$I$2:$I$319,$B76,Inventory!$J$2:$J$319,$C76)</x:f>
        <x:v>1</x:v>
      </x:c>
      <x:c r="E76" s="249" t="n">
        <x:f>COUNTIFS(Inventory!$G$2:$G$319,$A76,Inventory!$I$2:$I$319,$B76,Inventory!$J$2:$J$319,$C76,Inventory!$O$2:$O$319,"Listed")</x:f>
        <x:v>0</x:v>
      </x:c>
      <x:c r="F76" s="249" t="n">
        <x:f>COUNTIFS(Inventory!$G$2:$G$319,$A76,Inventory!$I$2:$I$319,$B76,Inventory!$J$2:$J$319,$C76,Inventory!$O$2:$O$319,"Price not exposed")</x:f>
        <x:v>1</x:v>
      </x:c>
      <x:c r="G76" s="257" t="str">
        <x:f>IF(E76=0,"",SUMIFS(Inventory!$N$2:$N$319,Inventory!$G$2:$G$319,$A76,Inventory!$I$2:$I$319,$B76,Inventory!$J$2:$J$319,$C76,Inventory!$O$2:$O$319,"Listed")/E76)</x:f>
      </x:c>
      <x:c r="H76" s="257" t="str">
        <x:f>IF(E76=0,"",MINIFS(Inventory!$N$2:$N$319,Inventory!$G$2:$G$319,$A76,Inventory!$I$2:$I$319,$B76,Inventory!$J$2:$J$319,$C76,Inventory!$O$2:$O$319,"Listed"))</x:f>
      </x:c>
      <x:c r="I76" s="269" t="str">
        <x:f>IF(E76=0,"",MAXIFS(Inventory!$N$2:$N$319,Inventory!$G$2:$G$319,$A76,Inventory!$I$2:$I$319,$B76,Inventory!$J$2:$J$319,$C76,Inventory!$O$2:$O$319,"Listed"))</x:f>
      </x:c>
    </x:row>
    <x:row r="77">
      <x:c r="A77" s="48" t="str">
        <x:v>Used</x:v>
      </x:c>
      <x:c r="B77" s="49" t="str">
        <x:v>Cadillac</x:v>
      </x:c>
      <x:c r="C77" s="49" t="str">
        <x:v>ATS</x:v>
      </x:c>
      <x:c r="D77" s="249" t="n">
        <x:f>COUNTIFS(Inventory!$G$2:$G$319,$A77,Inventory!$I$2:$I$319,$B77,Inventory!$J$2:$J$319,$C77)</x:f>
        <x:v>1</x:v>
      </x:c>
      <x:c r="E77" s="249" t="n">
        <x:f>COUNTIFS(Inventory!$G$2:$G$319,$A77,Inventory!$I$2:$I$319,$B77,Inventory!$J$2:$J$319,$C77,Inventory!$O$2:$O$319,"Listed")</x:f>
        <x:v>0</x:v>
      </x:c>
      <x:c r="F77" s="249" t="n">
        <x:f>COUNTIFS(Inventory!$G$2:$G$319,$A77,Inventory!$I$2:$I$319,$B77,Inventory!$J$2:$J$319,$C77,Inventory!$O$2:$O$319,"Price not exposed")</x:f>
        <x:v>1</x:v>
      </x:c>
      <x:c r="G77" s="257" t="str">
        <x:f>IF(E77=0,"",SUMIFS(Inventory!$N$2:$N$319,Inventory!$G$2:$G$319,$A77,Inventory!$I$2:$I$319,$B77,Inventory!$J$2:$J$319,$C77,Inventory!$O$2:$O$319,"Listed")/E77)</x:f>
      </x:c>
      <x:c r="H77" s="257" t="str">
        <x:f>IF(E77=0,"",MINIFS(Inventory!$N$2:$N$319,Inventory!$G$2:$G$319,$A77,Inventory!$I$2:$I$319,$B77,Inventory!$J$2:$J$319,$C77,Inventory!$O$2:$O$319,"Listed"))</x:f>
      </x:c>
      <x:c r="I77" s="269" t="str">
        <x:f>IF(E77=0,"",MAXIFS(Inventory!$N$2:$N$319,Inventory!$G$2:$G$319,$A77,Inventory!$I$2:$I$319,$B77,Inventory!$J$2:$J$319,$C77,Inventory!$O$2:$O$319,"Listed"))</x:f>
      </x:c>
    </x:row>
    <x:row r="78">
      <x:c r="A78" s="48" t="str">
        <x:v>Used</x:v>
      </x:c>
      <x:c r="B78" s="49" t="str">
        <x:v>Chevrolet</x:v>
      </x:c>
      <x:c r="C78" s="49" t="str">
        <x:v>Spark</x:v>
      </x:c>
      <x:c r="D78" s="249" t="n">
        <x:f>COUNTIFS(Inventory!$G$2:$G$319,$A78,Inventory!$I$2:$I$319,$B78,Inventory!$J$2:$J$319,$C78)</x:f>
        <x:v>1</x:v>
      </x:c>
      <x:c r="E78" s="249" t="n">
        <x:f>COUNTIFS(Inventory!$G$2:$G$319,$A78,Inventory!$I$2:$I$319,$B78,Inventory!$J$2:$J$319,$C78,Inventory!$O$2:$O$319,"Listed")</x:f>
        <x:v>0</x:v>
      </x:c>
      <x:c r="F78" s="249" t="n">
        <x:f>COUNTIFS(Inventory!$G$2:$G$319,$A78,Inventory!$I$2:$I$319,$B78,Inventory!$J$2:$J$319,$C78,Inventory!$O$2:$O$319,"Price not exposed")</x:f>
        <x:v>1</x:v>
      </x:c>
      <x:c r="G78" s="257" t="str">
        <x:f>IF(E78=0,"",SUMIFS(Inventory!$N$2:$N$319,Inventory!$G$2:$G$319,$A78,Inventory!$I$2:$I$319,$B78,Inventory!$J$2:$J$319,$C78,Inventory!$O$2:$O$319,"Listed")/E78)</x:f>
      </x:c>
      <x:c r="H78" s="257" t="str">
        <x:f>IF(E78=0,"",MINIFS(Inventory!$N$2:$N$319,Inventory!$G$2:$G$319,$A78,Inventory!$I$2:$I$319,$B78,Inventory!$J$2:$J$319,$C78,Inventory!$O$2:$O$319,"Listed"))</x:f>
      </x:c>
      <x:c r="I78" s="269" t="str">
        <x:f>IF(E78=0,"",MAXIFS(Inventory!$N$2:$N$319,Inventory!$G$2:$G$319,$A78,Inventory!$I$2:$I$319,$B78,Inventory!$J$2:$J$319,$C78,Inventory!$O$2:$O$319,"Listed"))</x:f>
      </x:c>
    </x:row>
    <x:row r="79">
      <x:c r="A79" s="48" t="str">
        <x:v>Used</x:v>
      </x:c>
      <x:c r="B79" s="49" t="str">
        <x:v>Chevrolet</x:v>
      </x:c>
      <x:c r="C79" s="49" t="str">
        <x:v>Suburban 1500</x:v>
      </x:c>
      <x:c r="D79" s="249" t="n">
        <x:f>COUNTIFS(Inventory!$G$2:$G$319,$A79,Inventory!$I$2:$I$319,$B79,Inventory!$J$2:$J$319,$C79)</x:f>
        <x:v>1</x:v>
      </x:c>
      <x:c r="E79" s="249" t="n">
        <x:f>COUNTIFS(Inventory!$G$2:$G$319,$A79,Inventory!$I$2:$I$319,$B79,Inventory!$J$2:$J$319,$C79,Inventory!$O$2:$O$319,"Listed")</x:f>
        <x:v>0</x:v>
      </x:c>
      <x:c r="F79" s="249" t="n">
        <x:f>COUNTIFS(Inventory!$G$2:$G$319,$A79,Inventory!$I$2:$I$319,$B79,Inventory!$J$2:$J$319,$C79,Inventory!$O$2:$O$319,"Price not exposed")</x:f>
        <x:v>1</x:v>
      </x:c>
      <x:c r="G79" s="257" t="str">
        <x:f>IF(E79=0,"",SUMIFS(Inventory!$N$2:$N$319,Inventory!$G$2:$G$319,$A79,Inventory!$I$2:$I$319,$B79,Inventory!$J$2:$J$319,$C79,Inventory!$O$2:$O$319,"Listed")/E79)</x:f>
      </x:c>
      <x:c r="H79" s="257" t="str">
        <x:f>IF(E79=0,"",MINIFS(Inventory!$N$2:$N$319,Inventory!$G$2:$G$319,$A79,Inventory!$I$2:$I$319,$B79,Inventory!$J$2:$J$319,$C79,Inventory!$O$2:$O$319,"Listed"))</x:f>
      </x:c>
      <x:c r="I79" s="269" t="str">
        <x:f>IF(E79=0,"",MAXIFS(Inventory!$N$2:$N$319,Inventory!$G$2:$G$319,$A79,Inventory!$I$2:$I$319,$B79,Inventory!$J$2:$J$319,$C79,Inventory!$O$2:$O$319,"Listed"))</x:f>
      </x:c>
    </x:row>
    <x:row r="80">
      <x:c r="A80" s="48" t="str">
        <x:v>Used</x:v>
      </x:c>
      <x:c r="B80" s="49" t="str">
        <x:v>Chevrolet</x:v>
      </x:c>
      <x:c r="C80" s="49" t="str">
        <x:v>Traverse</x:v>
      </x:c>
      <x:c r="D80" s="249" t="n">
        <x:f>COUNTIFS(Inventory!$G$2:$G$319,$A80,Inventory!$I$2:$I$319,$B80,Inventory!$J$2:$J$319,$C80)</x:f>
        <x:v>1</x:v>
      </x:c>
      <x:c r="E80" s="249" t="n">
        <x:f>COUNTIFS(Inventory!$G$2:$G$319,$A80,Inventory!$I$2:$I$319,$B80,Inventory!$J$2:$J$319,$C80,Inventory!$O$2:$O$319,"Listed")</x:f>
        <x:v>0</x:v>
      </x:c>
      <x:c r="F80" s="249" t="n">
        <x:f>COUNTIFS(Inventory!$G$2:$G$319,$A80,Inventory!$I$2:$I$319,$B80,Inventory!$J$2:$J$319,$C80,Inventory!$O$2:$O$319,"Price not exposed")</x:f>
        <x:v>1</x:v>
      </x:c>
      <x:c r="G80" s="257" t="str">
        <x:f>IF(E80=0,"",SUMIFS(Inventory!$N$2:$N$319,Inventory!$G$2:$G$319,$A80,Inventory!$I$2:$I$319,$B80,Inventory!$J$2:$J$319,$C80,Inventory!$O$2:$O$319,"Listed")/E80)</x:f>
      </x:c>
      <x:c r="H80" s="257" t="str">
        <x:f>IF(E80=0,"",MINIFS(Inventory!$N$2:$N$319,Inventory!$G$2:$G$319,$A80,Inventory!$I$2:$I$319,$B80,Inventory!$J$2:$J$319,$C80,Inventory!$O$2:$O$319,"Listed"))</x:f>
      </x:c>
      <x:c r="I80" s="269" t="str">
        <x:f>IF(E80=0,"",MAXIFS(Inventory!$N$2:$N$319,Inventory!$G$2:$G$319,$A80,Inventory!$I$2:$I$319,$B80,Inventory!$J$2:$J$319,$C80,Inventory!$O$2:$O$319,"Listed"))</x:f>
      </x:c>
    </x:row>
    <x:row r="81">
      <x:c r="A81" s="48" t="str">
        <x:v>Used</x:v>
      </x:c>
      <x:c r="B81" s="49" t="str">
        <x:v>Chrysler</x:v>
      </x:c>
      <x:c r="C81" s="49" t="str">
        <x:v>200</x:v>
      </x:c>
      <x:c r="D81" s="249" t="n">
        <x:f>COUNTIFS(Inventory!$G$2:$G$319,$A81,Inventory!$I$2:$I$319,$B81,Inventory!$J$2:$J$319,$C81)</x:f>
        <x:v>1</x:v>
      </x:c>
      <x:c r="E81" s="249" t="n">
        <x:f>COUNTIFS(Inventory!$G$2:$G$319,$A81,Inventory!$I$2:$I$319,$B81,Inventory!$J$2:$J$319,$C81,Inventory!$O$2:$O$319,"Listed")</x:f>
        <x:v>0</x:v>
      </x:c>
      <x:c r="F81" s="249" t="n">
        <x:f>COUNTIFS(Inventory!$G$2:$G$319,$A81,Inventory!$I$2:$I$319,$B81,Inventory!$J$2:$J$319,$C81,Inventory!$O$2:$O$319,"Price not exposed")</x:f>
        <x:v>1</x:v>
      </x:c>
      <x:c r="G81" s="257" t="str">
        <x:f>IF(E81=0,"",SUMIFS(Inventory!$N$2:$N$319,Inventory!$G$2:$G$319,$A81,Inventory!$I$2:$I$319,$B81,Inventory!$J$2:$J$319,$C81,Inventory!$O$2:$O$319,"Listed")/E81)</x:f>
      </x:c>
      <x:c r="H81" s="257" t="str">
        <x:f>IF(E81=0,"",MINIFS(Inventory!$N$2:$N$319,Inventory!$G$2:$G$319,$A81,Inventory!$I$2:$I$319,$B81,Inventory!$J$2:$J$319,$C81,Inventory!$O$2:$O$319,"Listed"))</x:f>
      </x:c>
      <x:c r="I81" s="269" t="str">
        <x:f>IF(E81=0,"",MAXIFS(Inventory!$N$2:$N$319,Inventory!$G$2:$G$319,$A81,Inventory!$I$2:$I$319,$B81,Inventory!$J$2:$J$319,$C81,Inventory!$O$2:$O$319,"Listed"))</x:f>
      </x:c>
    </x:row>
    <x:row r="82">
      <x:c r="A82" s="48" t="str">
        <x:v>Used</x:v>
      </x:c>
      <x:c r="B82" s="49" t="str">
        <x:v>Dodge</x:v>
      </x:c>
      <x:c r="C82" s="49" t="str">
        <x:v>Challenger</x:v>
      </x:c>
      <x:c r="D82" s="249" t="n">
        <x:f>COUNTIFS(Inventory!$G$2:$G$319,$A82,Inventory!$I$2:$I$319,$B82,Inventory!$J$2:$J$319,$C82)</x:f>
        <x:v>1</x:v>
      </x:c>
      <x:c r="E82" s="249" t="n">
        <x:f>COUNTIFS(Inventory!$G$2:$G$319,$A82,Inventory!$I$2:$I$319,$B82,Inventory!$J$2:$J$319,$C82,Inventory!$O$2:$O$319,"Listed")</x:f>
        <x:v>0</x:v>
      </x:c>
      <x:c r="F82" s="249" t="n">
        <x:f>COUNTIFS(Inventory!$G$2:$G$319,$A82,Inventory!$I$2:$I$319,$B82,Inventory!$J$2:$J$319,$C82,Inventory!$O$2:$O$319,"Price not exposed")</x:f>
        <x:v>1</x:v>
      </x:c>
      <x:c r="G82" s="257" t="str">
        <x:f>IF(E82=0,"",SUMIFS(Inventory!$N$2:$N$319,Inventory!$G$2:$G$319,$A82,Inventory!$I$2:$I$319,$B82,Inventory!$J$2:$J$319,$C82,Inventory!$O$2:$O$319,"Listed")/E82)</x:f>
      </x:c>
      <x:c r="H82" s="257" t="str">
        <x:f>IF(E82=0,"",MINIFS(Inventory!$N$2:$N$319,Inventory!$G$2:$G$319,$A82,Inventory!$I$2:$I$319,$B82,Inventory!$J$2:$J$319,$C82,Inventory!$O$2:$O$319,"Listed"))</x:f>
      </x:c>
      <x:c r="I82" s="269" t="str">
        <x:f>IF(E82=0,"",MAXIFS(Inventory!$N$2:$N$319,Inventory!$G$2:$G$319,$A82,Inventory!$I$2:$I$319,$B82,Inventory!$J$2:$J$319,$C82,Inventory!$O$2:$O$319,"Listed"))</x:f>
      </x:c>
    </x:row>
    <x:row r="83">
      <x:c r="A83" s="48" t="str">
        <x:v>Used</x:v>
      </x:c>
      <x:c r="B83" s="49" t="str">
        <x:v>Dodge</x:v>
      </x:c>
      <x:c r="C83" s="49" t="str">
        <x:v>Charger</x:v>
      </x:c>
      <x:c r="D83" s="249" t="n">
        <x:f>COUNTIFS(Inventory!$G$2:$G$319,$A83,Inventory!$I$2:$I$319,$B83,Inventory!$J$2:$J$319,$C83)</x:f>
        <x:v>1</x:v>
      </x:c>
      <x:c r="E83" s="249" t="n">
        <x:f>COUNTIFS(Inventory!$G$2:$G$319,$A83,Inventory!$I$2:$I$319,$B83,Inventory!$J$2:$J$319,$C83,Inventory!$O$2:$O$319,"Listed")</x:f>
        <x:v>0</x:v>
      </x:c>
      <x:c r="F83" s="249" t="n">
        <x:f>COUNTIFS(Inventory!$G$2:$G$319,$A83,Inventory!$I$2:$I$319,$B83,Inventory!$J$2:$J$319,$C83,Inventory!$O$2:$O$319,"Price not exposed")</x:f>
        <x:v>1</x:v>
      </x:c>
      <x:c r="G83" s="257" t="str">
        <x:f>IF(E83=0,"",SUMIFS(Inventory!$N$2:$N$319,Inventory!$G$2:$G$319,$A83,Inventory!$I$2:$I$319,$B83,Inventory!$J$2:$J$319,$C83,Inventory!$O$2:$O$319,"Listed")/E83)</x:f>
      </x:c>
      <x:c r="H83" s="257" t="str">
        <x:f>IF(E83=0,"",MINIFS(Inventory!$N$2:$N$319,Inventory!$G$2:$G$319,$A83,Inventory!$I$2:$I$319,$B83,Inventory!$J$2:$J$319,$C83,Inventory!$O$2:$O$319,"Listed"))</x:f>
      </x:c>
      <x:c r="I83" s="269" t="str">
        <x:f>IF(E83=0,"",MAXIFS(Inventory!$N$2:$N$319,Inventory!$G$2:$G$319,$A83,Inventory!$I$2:$I$319,$B83,Inventory!$J$2:$J$319,$C83,Inventory!$O$2:$O$319,"Listed"))</x:f>
      </x:c>
    </x:row>
    <x:row r="84">
      <x:c r="A84" s="48" t="str">
        <x:v>Used</x:v>
      </x:c>
      <x:c r="B84" s="49" t="str">
        <x:v>Dodge</x:v>
      </x:c>
      <x:c r="C84" s="49" t="str">
        <x:v>Hornet</x:v>
      </x:c>
      <x:c r="D84" s="249" t="n">
        <x:f>COUNTIFS(Inventory!$G$2:$G$319,$A84,Inventory!$I$2:$I$319,$B84,Inventory!$J$2:$J$319,$C84)</x:f>
        <x:v>1</x:v>
      </x:c>
      <x:c r="E84" s="249" t="n">
        <x:f>COUNTIFS(Inventory!$G$2:$G$319,$A84,Inventory!$I$2:$I$319,$B84,Inventory!$J$2:$J$319,$C84,Inventory!$O$2:$O$319,"Listed")</x:f>
        <x:v>0</x:v>
      </x:c>
      <x:c r="F84" s="249" t="n">
        <x:f>COUNTIFS(Inventory!$G$2:$G$319,$A84,Inventory!$I$2:$I$319,$B84,Inventory!$J$2:$J$319,$C84,Inventory!$O$2:$O$319,"Price not exposed")</x:f>
        <x:v>1</x:v>
      </x:c>
      <x:c r="G84" s="257" t="str">
        <x:f>IF(E84=0,"",SUMIFS(Inventory!$N$2:$N$319,Inventory!$G$2:$G$319,$A84,Inventory!$I$2:$I$319,$B84,Inventory!$J$2:$J$319,$C84,Inventory!$O$2:$O$319,"Listed")/E84)</x:f>
      </x:c>
      <x:c r="H84" s="257" t="str">
        <x:f>IF(E84=0,"",MINIFS(Inventory!$N$2:$N$319,Inventory!$G$2:$G$319,$A84,Inventory!$I$2:$I$319,$B84,Inventory!$J$2:$J$319,$C84,Inventory!$O$2:$O$319,"Listed"))</x:f>
      </x:c>
      <x:c r="I84" s="269" t="str">
        <x:f>IF(E84=0,"",MAXIFS(Inventory!$N$2:$N$319,Inventory!$G$2:$G$319,$A84,Inventory!$I$2:$I$319,$B84,Inventory!$J$2:$J$319,$C84,Inventory!$O$2:$O$319,"Listed"))</x:f>
      </x:c>
    </x:row>
    <x:row r="85">
      <x:c r="A85" s="48" t="str">
        <x:v>Used</x:v>
      </x:c>
      <x:c r="B85" s="49" t="str">
        <x:v>Dodge</x:v>
      </x:c>
      <x:c r="C85" s="49" t="str">
        <x:v>Journey</x:v>
      </x:c>
      <x:c r="D85" s="249" t="n">
        <x:f>COUNTIFS(Inventory!$G$2:$G$319,$A85,Inventory!$I$2:$I$319,$B85,Inventory!$J$2:$J$319,$C85)</x:f>
        <x:v>1</x:v>
      </x:c>
      <x:c r="E85" s="249" t="n">
        <x:f>COUNTIFS(Inventory!$G$2:$G$319,$A85,Inventory!$I$2:$I$319,$B85,Inventory!$J$2:$J$319,$C85,Inventory!$O$2:$O$319,"Listed")</x:f>
        <x:v>1</x:v>
      </x:c>
      <x:c r="F85" s="249" t="n">
        <x:f>COUNTIFS(Inventory!$G$2:$G$319,$A85,Inventory!$I$2:$I$319,$B85,Inventory!$J$2:$J$319,$C85,Inventory!$O$2:$O$319,"Price not exposed")</x:f>
        <x:v>0</x:v>
      </x:c>
      <x:c r="G85" s="257" t="n">
        <x:f>IF(E85=0,"",SUMIFS(Inventory!$N$2:$N$319,Inventory!$G$2:$G$319,$A85,Inventory!$I$2:$I$319,$B85,Inventory!$J$2:$J$319,$C85,Inventory!$O$2:$O$319,"Listed")/E85)</x:f>
        <x:v>7395</x:v>
      </x:c>
      <x:c r="H85" s="257" t="n">
        <x:f>IF(E85=0,"",MINIFS(Inventory!$N$2:$N$319,Inventory!$G$2:$G$319,$A85,Inventory!$I$2:$I$319,$B85,Inventory!$J$2:$J$319,$C85,Inventory!$O$2:$O$319,"Listed"))</x:f>
        <x:v>7395</x:v>
      </x:c>
      <x:c r="I85" s="269" t="n">
        <x:f>IF(E85=0,"",MAXIFS(Inventory!$N$2:$N$319,Inventory!$G$2:$G$319,$A85,Inventory!$I$2:$I$319,$B85,Inventory!$J$2:$J$319,$C85,Inventory!$O$2:$O$319,"Listed"))</x:f>
        <x:v>7395</x:v>
      </x:c>
    </x:row>
    <x:row r="86">
      <x:c r="A86" s="48" t="str">
        <x:v>Used</x:v>
      </x:c>
      <x:c r="B86" s="49" t="str">
        <x:v>Ford</x:v>
      </x:c>
      <x:c r="C86" s="49" t="str">
        <x:v>Bronco Sport</x:v>
      </x:c>
      <x:c r="D86" s="249" t="n">
        <x:f>COUNTIFS(Inventory!$G$2:$G$319,$A86,Inventory!$I$2:$I$319,$B86,Inventory!$J$2:$J$319,$C86)</x:f>
        <x:v>1</x:v>
      </x:c>
      <x:c r="E86" s="249" t="n">
        <x:f>COUNTIFS(Inventory!$G$2:$G$319,$A86,Inventory!$I$2:$I$319,$B86,Inventory!$J$2:$J$319,$C86,Inventory!$O$2:$O$319,"Listed")</x:f>
        <x:v>0</x:v>
      </x:c>
      <x:c r="F86" s="249" t="n">
        <x:f>COUNTIFS(Inventory!$G$2:$G$319,$A86,Inventory!$I$2:$I$319,$B86,Inventory!$J$2:$J$319,$C86,Inventory!$O$2:$O$319,"Price not exposed")</x:f>
        <x:v>1</x:v>
      </x:c>
      <x:c r="G86" s="257" t="str">
        <x:f>IF(E86=0,"",SUMIFS(Inventory!$N$2:$N$319,Inventory!$G$2:$G$319,$A86,Inventory!$I$2:$I$319,$B86,Inventory!$J$2:$J$319,$C86,Inventory!$O$2:$O$319,"Listed")/E86)</x:f>
      </x:c>
      <x:c r="H86" s="257" t="str">
        <x:f>IF(E86=0,"",MINIFS(Inventory!$N$2:$N$319,Inventory!$G$2:$G$319,$A86,Inventory!$I$2:$I$319,$B86,Inventory!$J$2:$J$319,$C86,Inventory!$O$2:$O$319,"Listed"))</x:f>
      </x:c>
      <x:c r="I86" s="269" t="str">
        <x:f>IF(E86=0,"",MAXIFS(Inventory!$N$2:$N$319,Inventory!$G$2:$G$319,$A86,Inventory!$I$2:$I$319,$B86,Inventory!$J$2:$J$319,$C86,Inventory!$O$2:$O$319,"Listed"))</x:f>
      </x:c>
    </x:row>
    <x:row r="87">
      <x:c r="A87" s="48" t="str">
        <x:v>Used</x:v>
      </x:c>
      <x:c r="B87" s="49" t="str">
        <x:v>Ford</x:v>
      </x:c>
      <x:c r="C87" s="49" t="str">
        <x:v>Edge</x:v>
      </x:c>
      <x:c r="D87" s="249" t="n">
        <x:f>COUNTIFS(Inventory!$G$2:$G$319,$A87,Inventory!$I$2:$I$319,$B87,Inventory!$J$2:$J$319,$C87)</x:f>
        <x:v>1</x:v>
      </x:c>
      <x:c r="E87" s="249" t="n">
        <x:f>COUNTIFS(Inventory!$G$2:$G$319,$A87,Inventory!$I$2:$I$319,$B87,Inventory!$J$2:$J$319,$C87,Inventory!$O$2:$O$319,"Listed")</x:f>
        <x:v>0</x:v>
      </x:c>
      <x:c r="F87" s="249" t="n">
        <x:f>COUNTIFS(Inventory!$G$2:$G$319,$A87,Inventory!$I$2:$I$319,$B87,Inventory!$J$2:$J$319,$C87,Inventory!$O$2:$O$319,"Price not exposed")</x:f>
        <x:v>1</x:v>
      </x:c>
      <x:c r="G87" s="257" t="str">
        <x:f>IF(E87=0,"",SUMIFS(Inventory!$N$2:$N$319,Inventory!$G$2:$G$319,$A87,Inventory!$I$2:$I$319,$B87,Inventory!$J$2:$J$319,$C87,Inventory!$O$2:$O$319,"Listed")/E87)</x:f>
      </x:c>
      <x:c r="H87" s="257" t="str">
        <x:f>IF(E87=0,"",MINIFS(Inventory!$N$2:$N$319,Inventory!$G$2:$G$319,$A87,Inventory!$I$2:$I$319,$B87,Inventory!$J$2:$J$319,$C87,Inventory!$O$2:$O$319,"Listed"))</x:f>
      </x:c>
      <x:c r="I87" s="269" t="str">
        <x:f>IF(E87=0,"",MAXIFS(Inventory!$N$2:$N$319,Inventory!$G$2:$G$319,$A87,Inventory!$I$2:$I$319,$B87,Inventory!$J$2:$J$319,$C87,Inventory!$O$2:$O$319,"Listed"))</x:f>
      </x:c>
    </x:row>
    <x:row r="88">
      <x:c r="A88" s="48" t="str">
        <x:v>Used</x:v>
      </x:c>
      <x:c r="B88" s="49" t="str">
        <x:v>Ford</x:v>
      </x:c>
      <x:c r="C88" s="49" t="str">
        <x:v>Expedition Max</x:v>
      </x:c>
      <x:c r="D88" s="249" t="n">
        <x:f>COUNTIFS(Inventory!$G$2:$G$319,$A88,Inventory!$I$2:$I$319,$B88,Inventory!$J$2:$J$319,$C88)</x:f>
        <x:v>1</x:v>
      </x:c>
      <x:c r="E88" s="249" t="n">
        <x:f>COUNTIFS(Inventory!$G$2:$G$319,$A88,Inventory!$I$2:$I$319,$B88,Inventory!$J$2:$J$319,$C88,Inventory!$O$2:$O$319,"Listed")</x:f>
        <x:v>0</x:v>
      </x:c>
      <x:c r="F88" s="249" t="n">
        <x:f>COUNTIFS(Inventory!$G$2:$G$319,$A88,Inventory!$I$2:$I$319,$B88,Inventory!$J$2:$J$319,$C88,Inventory!$O$2:$O$319,"Price not exposed")</x:f>
        <x:v>1</x:v>
      </x:c>
      <x:c r="G88" s="257" t="str">
        <x:f>IF(E88=0,"",SUMIFS(Inventory!$N$2:$N$319,Inventory!$G$2:$G$319,$A88,Inventory!$I$2:$I$319,$B88,Inventory!$J$2:$J$319,$C88,Inventory!$O$2:$O$319,"Listed")/E88)</x:f>
      </x:c>
      <x:c r="H88" s="257" t="str">
        <x:f>IF(E88=0,"",MINIFS(Inventory!$N$2:$N$319,Inventory!$G$2:$G$319,$A88,Inventory!$I$2:$I$319,$B88,Inventory!$J$2:$J$319,$C88,Inventory!$O$2:$O$319,"Listed"))</x:f>
      </x:c>
      <x:c r="I88" s="269" t="str">
        <x:f>IF(E88=0,"",MAXIFS(Inventory!$N$2:$N$319,Inventory!$G$2:$G$319,$A88,Inventory!$I$2:$I$319,$B88,Inventory!$J$2:$J$319,$C88,Inventory!$O$2:$O$319,"Listed"))</x:f>
      </x:c>
    </x:row>
    <x:row r="89">
      <x:c r="A89" s="48" t="str">
        <x:v>Used</x:v>
      </x:c>
      <x:c r="B89" s="49" t="str">
        <x:v>Ford</x:v>
      </x:c>
      <x:c r="C89" s="49" t="str">
        <x:v>Explorer</x:v>
      </x:c>
      <x:c r="D89" s="249" t="n">
        <x:f>COUNTIFS(Inventory!$G$2:$G$319,$A89,Inventory!$I$2:$I$319,$B89,Inventory!$J$2:$J$319,$C89)</x:f>
        <x:v>1</x:v>
      </x:c>
      <x:c r="E89" s="249" t="n">
        <x:f>COUNTIFS(Inventory!$G$2:$G$319,$A89,Inventory!$I$2:$I$319,$B89,Inventory!$J$2:$J$319,$C89,Inventory!$O$2:$O$319,"Listed")</x:f>
        <x:v>0</x:v>
      </x:c>
      <x:c r="F89" s="249" t="n">
        <x:f>COUNTIFS(Inventory!$G$2:$G$319,$A89,Inventory!$I$2:$I$319,$B89,Inventory!$J$2:$J$319,$C89,Inventory!$O$2:$O$319,"Price not exposed")</x:f>
        <x:v>1</x:v>
      </x:c>
      <x:c r="G89" s="257" t="str">
        <x:f>IF(E89=0,"",SUMIFS(Inventory!$N$2:$N$319,Inventory!$G$2:$G$319,$A89,Inventory!$I$2:$I$319,$B89,Inventory!$J$2:$J$319,$C89,Inventory!$O$2:$O$319,"Listed")/E89)</x:f>
      </x:c>
      <x:c r="H89" s="257" t="str">
        <x:f>IF(E89=0,"",MINIFS(Inventory!$N$2:$N$319,Inventory!$G$2:$G$319,$A89,Inventory!$I$2:$I$319,$B89,Inventory!$J$2:$J$319,$C89,Inventory!$O$2:$O$319,"Listed"))</x:f>
      </x:c>
      <x:c r="I89" s="269" t="str">
        <x:f>IF(E89=0,"",MAXIFS(Inventory!$N$2:$N$319,Inventory!$G$2:$G$319,$A89,Inventory!$I$2:$I$319,$B89,Inventory!$J$2:$J$319,$C89,Inventory!$O$2:$O$319,"Listed"))</x:f>
      </x:c>
    </x:row>
    <x:row r="90">
      <x:c r="A90" s="48" t="str">
        <x:v>Used</x:v>
      </x:c>
      <x:c r="B90" s="49" t="str">
        <x:v>Ford</x:v>
      </x:c>
      <x:c r="C90" s="49" t="str">
        <x:v>Mustang Mach-E</x:v>
      </x:c>
      <x:c r="D90" s="249" t="n">
        <x:f>COUNTIFS(Inventory!$G$2:$G$319,$A90,Inventory!$I$2:$I$319,$B90,Inventory!$J$2:$J$319,$C90)</x:f>
        <x:v>1</x:v>
      </x:c>
      <x:c r="E90" s="249" t="n">
        <x:f>COUNTIFS(Inventory!$G$2:$G$319,$A90,Inventory!$I$2:$I$319,$B90,Inventory!$J$2:$J$319,$C90,Inventory!$O$2:$O$319,"Listed")</x:f>
        <x:v>0</x:v>
      </x:c>
      <x:c r="F90" s="249" t="n">
        <x:f>COUNTIFS(Inventory!$G$2:$G$319,$A90,Inventory!$I$2:$I$319,$B90,Inventory!$J$2:$J$319,$C90,Inventory!$O$2:$O$319,"Price not exposed")</x:f>
        <x:v>1</x:v>
      </x:c>
      <x:c r="G90" s="257" t="str">
        <x:f>IF(E90=0,"",SUMIFS(Inventory!$N$2:$N$319,Inventory!$G$2:$G$319,$A90,Inventory!$I$2:$I$319,$B90,Inventory!$J$2:$J$319,$C90,Inventory!$O$2:$O$319,"Listed")/E90)</x:f>
      </x:c>
      <x:c r="H90" s="257" t="str">
        <x:f>IF(E90=0,"",MINIFS(Inventory!$N$2:$N$319,Inventory!$G$2:$G$319,$A90,Inventory!$I$2:$I$319,$B90,Inventory!$J$2:$J$319,$C90,Inventory!$O$2:$O$319,"Listed"))</x:f>
      </x:c>
      <x:c r="I90" s="269" t="str">
        <x:f>IF(E90=0,"",MAXIFS(Inventory!$N$2:$N$319,Inventory!$G$2:$G$319,$A90,Inventory!$I$2:$I$319,$B90,Inventory!$J$2:$J$319,$C90,Inventory!$O$2:$O$319,"Listed"))</x:f>
      </x:c>
    </x:row>
    <x:row r="91">
      <x:c r="A91" s="48" t="str">
        <x:v>Used</x:v>
      </x:c>
      <x:c r="B91" s="49" t="str">
        <x:v>Ford</x:v>
      </x:c>
      <x:c r="C91" s="49" t="str">
        <x:v>Ranger</x:v>
      </x:c>
      <x:c r="D91" s="249" t="n">
        <x:f>COUNTIFS(Inventory!$G$2:$G$319,$A91,Inventory!$I$2:$I$319,$B91,Inventory!$J$2:$J$319,$C91)</x:f>
        <x:v>1</x:v>
      </x:c>
      <x:c r="E91" s="249" t="n">
        <x:f>COUNTIFS(Inventory!$G$2:$G$319,$A91,Inventory!$I$2:$I$319,$B91,Inventory!$J$2:$J$319,$C91,Inventory!$O$2:$O$319,"Listed")</x:f>
        <x:v>0</x:v>
      </x:c>
      <x:c r="F91" s="249" t="n">
        <x:f>COUNTIFS(Inventory!$G$2:$G$319,$A91,Inventory!$I$2:$I$319,$B91,Inventory!$J$2:$J$319,$C91,Inventory!$O$2:$O$319,"Price not exposed")</x:f>
        <x:v>1</x:v>
      </x:c>
      <x:c r="G91" s="257" t="str">
        <x:f>IF(E91=0,"",SUMIFS(Inventory!$N$2:$N$319,Inventory!$G$2:$G$319,$A91,Inventory!$I$2:$I$319,$B91,Inventory!$J$2:$J$319,$C91,Inventory!$O$2:$O$319,"Listed")/E91)</x:f>
      </x:c>
      <x:c r="H91" s="257" t="str">
        <x:f>IF(E91=0,"",MINIFS(Inventory!$N$2:$N$319,Inventory!$G$2:$G$319,$A91,Inventory!$I$2:$I$319,$B91,Inventory!$J$2:$J$319,$C91,Inventory!$O$2:$O$319,"Listed"))</x:f>
      </x:c>
      <x:c r="I91" s="269" t="str">
        <x:f>IF(E91=0,"",MAXIFS(Inventory!$N$2:$N$319,Inventory!$G$2:$G$319,$A91,Inventory!$I$2:$I$319,$B91,Inventory!$J$2:$J$319,$C91,Inventory!$O$2:$O$319,"Listed"))</x:f>
      </x:c>
    </x:row>
    <x:row r="92">
      <x:c r="A92" s="48" t="str">
        <x:v>Used</x:v>
      </x:c>
      <x:c r="B92" s="49" t="str">
        <x:v>GMC</x:v>
      </x:c>
      <x:c r="C92" s="49" t="str">
        <x:v>Savana 2500</x:v>
      </x:c>
      <x:c r="D92" s="249" t="n">
        <x:f>COUNTIFS(Inventory!$G$2:$G$319,$A92,Inventory!$I$2:$I$319,$B92,Inventory!$J$2:$J$319,$C92)</x:f>
        <x:v>1</x:v>
      </x:c>
      <x:c r="E92" s="249" t="n">
        <x:f>COUNTIFS(Inventory!$G$2:$G$319,$A92,Inventory!$I$2:$I$319,$B92,Inventory!$J$2:$J$319,$C92,Inventory!$O$2:$O$319,"Listed")</x:f>
        <x:v>0</x:v>
      </x:c>
      <x:c r="F92" s="249" t="n">
        <x:f>COUNTIFS(Inventory!$G$2:$G$319,$A92,Inventory!$I$2:$I$319,$B92,Inventory!$J$2:$J$319,$C92,Inventory!$O$2:$O$319,"Price not exposed")</x:f>
        <x:v>1</x:v>
      </x:c>
      <x:c r="G92" s="257" t="str">
        <x:f>IF(E92=0,"",SUMIFS(Inventory!$N$2:$N$319,Inventory!$G$2:$G$319,$A92,Inventory!$I$2:$I$319,$B92,Inventory!$J$2:$J$319,$C92,Inventory!$O$2:$O$319,"Listed")/E92)</x:f>
      </x:c>
      <x:c r="H92" s="257" t="str">
        <x:f>IF(E92=0,"",MINIFS(Inventory!$N$2:$N$319,Inventory!$G$2:$G$319,$A92,Inventory!$I$2:$I$319,$B92,Inventory!$J$2:$J$319,$C92,Inventory!$O$2:$O$319,"Listed"))</x:f>
      </x:c>
      <x:c r="I92" s="269" t="str">
        <x:f>IF(E92=0,"",MAXIFS(Inventory!$N$2:$N$319,Inventory!$G$2:$G$319,$A92,Inventory!$I$2:$I$319,$B92,Inventory!$J$2:$J$319,$C92,Inventory!$O$2:$O$319,"Listed"))</x:f>
      </x:c>
    </x:row>
    <x:row r="93">
      <x:c r="A93" s="48" t="str">
        <x:v>Used</x:v>
      </x:c>
      <x:c r="B93" s="49" t="str">
        <x:v>GMC</x:v>
      </x:c>
      <x:c r="C93" s="49" t="str">
        <x:v>Sierra 1500 Limited</x:v>
      </x:c>
      <x:c r="D93" s="249" t="n">
        <x:f>COUNTIFS(Inventory!$G$2:$G$319,$A93,Inventory!$I$2:$I$319,$B93,Inventory!$J$2:$J$319,$C93)</x:f>
        <x:v>1</x:v>
      </x:c>
      <x:c r="E93" s="249" t="n">
        <x:f>COUNTIFS(Inventory!$G$2:$G$319,$A93,Inventory!$I$2:$I$319,$B93,Inventory!$J$2:$J$319,$C93,Inventory!$O$2:$O$319,"Listed")</x:f>
        <x:v>0</x:v>
      </x:c>
      <x:c r="F93" s="249" t="n">
        <x:f>COUNTIFS(Inventory!$G$2:$G$319,$A93,Inventory!$I$2:$I$319,$B93,Inventory!$J$2:$J$319,$C93,Inventory!$O$2:$O$319,"Price not exposed")</x:f>
        <x:v>1</x:v>
      </x:c>
      <x:c r="G93" s="257" t="str">
        <x:f>IF(E93=0,"",SUMIFS(Inventory!$N$2:$N$319,Inventory!$G$2:$G$319,$A93,Inventory!$I$2:$I$319,$B93,Inventory!$J$2:$J$319,$C93,Inventory!$O$2:$O$319,"Listed")/E93)</x:f>
      </x:c>
      <x:c r="H93" s="257" t="str">
        <x:f>IF(E93=0,"",MINIFS(Inventory!$N$2:$N$319,Inventory!$G$2:$G$319,$A93,Inventory!$I$2:$I$319,$B93,Inventory!$J$2:$J$319,$C93,Inventory!$O$2:$O$319,"Listed"))</x:f>
      </x:c>
      <x:c r="I93" s="269" t="str">
        <x:f>IF(E93=0,"",MAXIFS(Inventory!$N$2:$N$319,Inventory!$G$2:$G$319,$A93,Inventory!$I$2:$I$319,$B93,Inventory!$J$2:$J$319,$C93,Inventory!$O$2:$O$319,"Listed"))</x:f>
      </x:c>
    </x:row>
    <x:row r="94">
      <x:c r="A94" s="48" t="str">
        <x:v>Used</x:v>
      </x:c>
      <x:c r="B94" s="49" t="str">
        <x:v>GMC</x:v>
      </x:c>
      <x:c r="C94" s="49" t="str">
        <x:v>Sierra 3500HD</x:v>
      </x:c>
      <x:c r="D94" s="249" t="n">
        <x:f>COUNTIFS(Inventory!$G$2:$G$319,$A94,Inventory!$I$2:$I$319,$B94,Inventory!$J$2:$J$319,$C94)</x:f>
        <x:v>1</x:v>
      </x:c>
      <x:c r="E94" s="249" t="n">
        <x:f>COUNTIFS(Inventory!$G$2:$G$319,$A94,Inventory!$I$2:$I$319,$B94,Inventory!$J$2:$J$319,$C94,Inventory!$O$2:$O$319,"Listed")</x:f>
        <x:v>0</x:v>
      </x:c>
      <x:c r="F94" s="249" t="n">
        <x:f>COUNTIFS(Inventory!$G$2:$G$319,$A94,Inventory!$I$2:$I$319,$B94,Inventory!$J$2:$J$319,$C94,Inventory!$O$2:$O$319,"Price not exposed")</x:f>
        <x:v>1</x:v>
      </x:c>
      <x:c r="G94" s="257" t="str">
        <x:f>IF(E94=0,"",SUMIFS(Inventory!$N$2:$N$319,Inventory!$G$2:$G$319,$A94,Inventory!$I$2:$I$319,$B94,Inventory!$J$2:$J$319,$C94,Inventory!$O$2:$O$319,"Listed")/E94)</x:f>
      </x:c>
      <x:c r="H94" s="257" t="str">
        <x:f>IF(E94=0,"",MINIFS(Inventory!$N$2:$N$319,Inventory!$G$2:$G$319,$A94,Inventory!$I$2:$I$319,$B94,Inventory!$J$2:$J$319,$C94,Inventory!$O$2:$O$319,"Listed"))</x:f>
      </x:c>
      <x:c r="I94" s="269" t="str">
        <x:f>IF(E94=0,"",MAXIFS(Inventory!$N$2:$N$319,Inventory!$G$2:$G$319,$A94,Inventory!$I$2:$I$319,$B94,Inventory!$J$2:$J$319,$C94,Inventory!$O$2:$O$319,"Listed"))</x:f>
      </x:c>
    </x:row>
    <x:row r="95">
      <x:c r="A95" s="48" t="str">
        <x:v>Used</x:v>
      </x:c>
      <x:c r="B95" s="49" t="str">
        <x:v>GMC</x:v>
      </x:c>
      <x:c r="C95" s="49" t="str">
        <x:v>Yukon XL</x:v>
      </x:c>
      <x:c r="D95" s="249" t="n">
        <x:f>COUNTIFS(Inventory!$G$2:$G$319,$A95,Inventory!$I$2:$I$319,$B95,Inventory!$J$2:$J$319,$C95)</x:f>
        <x:v>1</x:v>
      </x:c>
      <x:c r="E95" s="249" t="n">
        <x:f>COUNTIFS(Inventory!$G$2:$G$319,$A95,Inventory!$I$2:$I$319,$B95,Inventory!$J$2:$J$319,$C95,Inventory!$O$2:$O$319,"Listed")</x:f>
        <x:v>0</x:v>
      </x:c>
      <x:c r="F95" s="249" t="n">
        <x:f>COUNTIFS(Inventory!$G$2:$G$319,$A95,Inventory!$I$2:$I$319,$B95,Inventory!$J$2:$J$319,$C95,Inventory!$O$2:$O$319,"Price not exposed")</x:f>
        <x:v>1</x:v>
      </x:c>
      <x:c r="G95" s="257" t="str">
        <x:f>IF(E95=0,"",SUMIFS(Inventory!$N$2:$N$319,Inventory!$G$2:$G$319,$A95,Inventory!$I$2:$I$319,$B95,Inventory!$J$2:$J$319,$C95,Inventory!$O$2:$O$319,"Listed")/E95)</x:f>
      </x:c>
      <x:c r="H95" s="257" t="str">
        <x:f>IF(E95=0,"",MINIFS(Inventory!$N$2:$N$319,Inventory!$G$2:$G$319,$A95,Inventory!$I$2:$I$319,$B95,Inventory!$J$2:$J$319,$C95,Inventory!$O$2:$O$319,"Listed"))</x:f>
      </x:c>
      <x:c r="I95" s="269" t="str">
        <x:f>IF(E95=0,"",MAXIFS(Inventory!$N$2:$N$319,Inventory!$G$2:$G$319,$A95,Inventory!$I$2:$I$319,$B95,Inventory!$J$2:$J$319,$C95,Inventory!$O$2:$O$319,"Listed"))</x:f>
      </x:c>
    </x:row>
    <x:row r="96">
      <x:c r="A96" s="48" t="str">
        <x:v>Used</x:v>
      </x:c>
      <x:c r="B96" s="49" t="str">
        <x:v>Genesis</x:v>
      </x:c>
      <x:c r="C96" s="49" t="str">
        <x:v>GV80</x:v>
      </x:c>
      <x:c r="D96" s="249" t="n">
        <x:f>COUNTIFS(Inventory!$G$2:$G$319,$A96,Inventory!$I$2:$I$319,$B96,Inventory!$J$2:$J$319,$C96)</x:f>
        <x:v>1</x:v>
      </x:c>
      <x:c r="E96" s="249" t="n">
        <x:f>COUNTIFS(Inventory!$G$2:$G$319,$A96,Inventory!$I$2:$I$319,$B96,Inventory!$J$2:$J$319,$C96,Inventory!$O$2:$O$319,"Listed")</x:f>
        <x:v>1</x:v>
      </x:c>
      <x:c r="F96" s="249" t="n">
        <x:f>COUNTIFS(Inventory!$G$2:$G$319,$A96,Inventory!$I$2:$I$319,$B96,Inventory!$J$2:$J$319,$C96,Inventory!$O$2:$O$319,"Price not exposed")</x:f>
        <x:v>0</x:v>
      </x:c>
      <x:c r="G96" s="257" t="n">
        <x:f>IF(E96=0,"",SUMIFS(Inventory!$N$2:$N$319,Inventory!$G$2:$G$319,$A96,Inventory!$I$2:$I$319,$B96,Inventory!$J$2:$J$319,$C96,Inventory!$O$2:$O$319,"Listed")/E96)</x:f>
        <x:v>35395</x:v>
      </x:c>
      <x:c r="H96" s="257" t="n">
        <x:f>IF(E96=0,"",MINIFS(Inventory!$N$2:$N$319,Inventory!$G$2:$G$319,$A96,Inventory!$I$2:$I$319,$B96,Inventory!$J$2:$J$319,$C96,Inventory!$O$2:$O$319,"Listed"))</x:f>
        <x:v>35395</x:v>
      </x:c>
      <x:c r="I96" s="269" t="n">
        <x:f>IF(E96=0,"",MAXIFS(Inventory!$N$2:$N$319,Inventory!$G$2:$G$319,$A96,Inventory!$I$2:$I$319,$B96,Inventory!$J$2:$J$319,$C96,Inventory!$O$2:$O$319,"Listed"))</x:f>
        <x:v>35395</x:v>
      </x:c>
    </x:row>
    <x:row r="97">
      <x:c r="A97" s="48" t="str">
        <x:v>Used</x:v>
      </x:c>
      <x:c r="B97" s="49" t="str">
        <x:v>Honda</x:v>
      </x:c>
      <x:c r="C97" s="49" t="str">
        <x:v>Accord</x:v>
      </x:c>
      <x:c r="D97" s="249" t="n">
        <x:f>COUNTIFS(Inventory!$G$2:$G$319,$A97,Inventory!$I$2:$I$319,$B97,Inventory!$J$2:$J$319,$C97)</x:f>
        <x:v>1</x:v>
      </x:c>
      <x:c r="E97" s="249" t="n">
        <x:f>COUNTIFS(Inventory!$G$2:$G$319,$A97,Inventory!$I$2:$I$319,$B97,Inventory!$J$2:$J$319,$C97,Inventory!$O$2:$O$319,"Listed")</x:f>
        <x:v>0</x:v>
      </x:c>
      <x:c r="F97" s="249" t="n">
        <x:f>COUNTIFS(Inventory!$G$2:$G$319,$A97,Inventory!$I$2:$I$319,$B97,Inventory!$J$2:$J$319,$C97,Inventory!$O$2:$O$319,"Price not exposed")</x:f>
        <x:v>1</x:v>
      </x:c>
      <x:c r="G97" s="257" t="str">
        <x:f>IF(E97=0,"",SUMIFS(Inventory!$N$2:$N$319,Inventory!$G$2:$G$319,$A97,Inventory!$I$2:$I$319,$B97,Inventory!$J$2:$J$319,$C97,Inventory!$O$2:$O$319,"Listed")/E97)</x:f>
      </x:c>
      <x:c r="H97" s="257" t="str">
        <x:f>IF(E97=0,"",MINIFS(Inventory!$N$2:$N$319,Inventory!$G$2:$G$319,$A97,Inventory!$I$2:$I$319,$B97,Inventory!$J$2:$J$319,$C97,Inventory!$O$2:$O$319,"Listed"))</x:f>
      </x:c>
      <x:c r="I97" s="269" t="str">
        <x:f>IF(E97=0,"",MAXIFS(Inventory!$N$2:$N$319,Inventory!$G$2:$G$319,$A97,Inventory!$I$2:$I$319,$B97,Inventory!$J$2:$J$319,$C97,Inventory!$O$2:$O$319,"Listed"))</x:f>
      </x:c>
    </x:row>
    <x:row r="98">
      <x:c r="A98" s="48" t="str">
        <x:v>Used</x:v>
      </x:c>
      <x:c r="B98" s="49" t="str">
        <x:v>Honda</x:v>
      </x:c>
      <x:c r="C98" s="49" t="str">
        <x:v>Odyssey</x:v>
      </x:c>
      <x:c r="D98" s="249" t="n">
        <x:f>COUNTIFS(Inventory!$G$2:$G$319,$A98,Inventory!$I$2:$I$319,$B98,Inventory!$J$2:$J$319,$C98)</x:f>
        <x:v>1</x:v>
      </x:c>
      <x:c r="E98" s="249" t="n">
        <x:f>COUNTIFS(Inventory!$G$2:$G$319,$A98,Inventory!$I$2:$I$319,$B98,Inventory!$J$2:$J$319,$C98,Inventory!$O$2:$O$319,"Listed")</x:f>
        <x:v>0</x:v>
      </x:c>
      <x:c r="F98" s="249" t="n">
        <x:f>COUNTIFS(Inventory!$G$2:$G$319,$A98,Inventory!$I$2:$I$319,$B98,Inventory!$J$2:$J$319,$C98,Inventory!$O$2:$O$319,"Price not exposed")</x:f>
        <x:v>1</x:v>
      </x:c>
      <x:c r="G98" s="257" t="str">
        <x:f>IF(E98=0,"",SUMIFS(Inventory!$N$2:$N$319,Inventory!$G$2:$G$319,$A98,Inventory!$I$2:$I$319,$B98,Inventory!$J$2:$J$319,$C98,Inventory!$O$2:$O$319,"Listed")/E98)</x:f>
      </x:c>
      <x:c r="H98" s="257" t="str">
        <x:f>IF(E98=0,"",MINIFS(Inventory!$N$2:$N$319,Inventory!$G$2:$G$319,$A98,Inventory!$I$2:$I$319,$B98,Inventory!$J$2:$J$319,$C98,Inventory!$O$2:$O$319,"Listed"))</x:f>
      </x:c>
      <x:c r="I98" s="269" t="str">
        <x:f>IF(E98=0,"",MAXIFS(Inventory!$N$2:$N$319,Inventory!$G$2:$G$319,$A98,Inventory!$I$2:$I$319,$B98,Inventory!$J$2:$J$319,$C98,Inventory!$O$2:$O$319,"Listed"))</x:f>
      </x:c>
    </x:row>
    <x:row r="99">
      <x:c r="A99" s="48" t="str">
        <x:v>Used</x:v>
      </x:c>
      <x:c r="B99" s="49" t="str">
        <x:v>Honda</x:v>
      </x:c>
      <x:c r="C99" s="49" t="str">
        <x:v>Passport</x:v>
      </x:c>
      <x:c r="D99" s="249" t="n">
        <x:f>COUNTIFS(Inventory!$G$2:$G$319,$A99,Inventory!$I$2:$I$319,$B99,Inventory!$J$2:$J$319,$C99)</x:f>
        <x:v>1</x:v>
      </x:c>
      <x:c r="E99" s="249" t="n">
        <x:f>COUNTIFS(Inventory!$G$2:$G$319,$A99,Inventory!$I$2:$I$319,$B99,Inventory!$J$2:$J$319,$C99,Inventory!$O$2:$O$319,"Listed")</x:f>
        <x:v>0</x:v>
      </x:c>
      <x:c r="F99" s="249" t="n">
        <x:f>COUNTIFS(Inventory!$G$2:$G$319,$A99,Inventory!$I$2:$I$319,$B99,Inventory!$J$2:$J$319,$C99,Inventory!$O$2:$O$319,"Price not exposed")</x:f>
        <x:v>1</x:v>
      </x:c>
      <x:c r="G99" s="257" t="str">
        <x:f>IF(E99=0,"",SUMIFS(Inventory!$N$2:$N$319,Inventory!$G$2:$G$319,$A99,Inventory!$I$2:$I$319,$B99,Inventory!$J$2:$J$319,$C99,Inventory!$O$2:$O$319,"Listed")/E99)</x:f>
      </x:c>
      <x:c r="H99" s="257" t="str">
        <x:f>IF(E99=0,"",MINIFS(Inventory!$N$2:$N$319,Inventory!$G$2:$G$319,$A99,Inventory!$I$2:$I$319,$B99,Inventory!$J$2:$J$319,$C99,Inventory!$O$2:$O$319,"Listed"))</x:f>
      </x:c>
      <x:c r="I99" s="269" t="str">
        <x:f>IF(E99=0,"",MAXIFS(Inventory!$N$2:$N$319,Inventory!$G$2:$G$319,$A99,Inventory!$I$2:$I$319,$B99,Inventory!$J$2:$J$319,$C99,Inventory!$O$2:$O$319,"Listed"))</x:f>
      </x:c>
    </x:row>
    <x:row r="100">
      <x:c r="A100" s="48" t="str">
        <x:v>Used</x:v>
      </x:c>
      <x:c r="B100" s="49" t="str">
        <x:v>Honda</x:v>
      </x:c>
      <x:c r="C100" s="49" t="str">
        <x:v>Ridgeline</x:v>
      </x:c>
      <x:c r="D100" s="249" t="n">
        <x:f>COUNTIFS(Inventory!$G$2:$G$319,$A100,Inventory!$I$2:$I$319,$B100,Inventory!$J$2:$J$319,$C100)</x:f>
        <x:v>1</x:v>
      </x:c>
      <x:c r="E100" s="249" t="n">
        <x:f>COUNTIFS(Inventory!$G$2:$G$319,$A100,Inventory!$I$2:$I$319,$B100,Inventory!$J$2:$J$319,$C100,Inventory!$O$2:$O$319,"Listed")</x:f>
        <x:v>0</x:v>
      </x:c>
      <x:c r="F100" s="249" t="n">
        <x:f>COUNTIFS(Inventory!$G$2:$G$319,$A100,Inventory!$I$2:$I$319,$B100,Inventory!$J$2:$J$319,$C100,Inventory!$O$2:$O$319,"Price not exposed")</x:f>
        <x:v>1</x:v>
      </x:c>
      <x:c r="G100" s="257" t="str">
        <x:f>IF(E100=0,"",SUMIFS(Inventory!$N$2:$N$319,Inventory!$G$2:$G$319,$A100,Inventory!$I$2:$I$319,$B100,Inventory!$J$2:$J$319,$C100,Inventory!$O$2:$O$319,"Listed")/E100)</x:f>
      </x:c>
      <x:c r="H100" s="257" t="str">
        <x:f>IF(E100=0,"",MINIFS(Inventory!$N$2:$N$319,Inventory!$G$2:$G$319,$A100,Inventory!$I$2:$I$319,$B100,Inventory!$J$2:$J$319,$C100,Inventory!$O$2:$O$319,"Listed"))</x:f>
      </x:c>
      <x:c r="I100" s="269" t="str">
        <x:f>IF(E100=0,"",MAXIFS(Inventory!$N$2:$N$319,Inventory!$G$2:$G$319,$A100,Inventory!$I$2:$I$319,$B100,Inventory!$J$2:$J$319,$C100,Inventory!$O$2:$O$319,"Listed"))</x:f>
      </x:c>
    </x:row>
    <x:row r="101">
      <x:c r="A101" s="48" t="str">
        <x:v>Used</x:v>
      </x:c>
      <x:c r="B101" s="49" t="str">
        <x:v>Hyundai</x:v>
      </x:c>
      <x:c r="C101" s="49" t="str">
        <x:v>Kona</x:v>
      </x:c>
      <x:c r="D101" s="249" t="n">
        <x:f>COUNTIFS(Inventory!$G$2:$G$319,$A101,Inventory!$I$2:$I$319,$B101,Inventory!$J$2:$J$319,$C101)</x:f>
        <x:v>1</x:v>
      </x:c>
      <x:c r="E101" s="249" t="n">
        <x:f>COUNTIFS(Inventory!$G$2:$G$319,$A101,Inventory!$I$2:$I$319,$B101,Inventory!$J$2:$J$319,$C101,Inventory!$O$2:$O$319,"Listed")</x:f>
        <x:v>0</x:v>
      </x:c>
      <x:c r="F101" s="249" t="n">
        <x:f>COUNTIFS(Inventory!$G$2:$G$319,$A101,Inventory!$I$2:$I$319,$B101,Inventory!$J$2:$J$319,$C101,Inventory!$O$2:$O$319,"Price not exposed")</x:f>
        <x:v>1</x:v>
      </x:c>
      <x:c r="G101" s="257" t="str">
        <x:f>IF(E101=0,"",SUMIFS(Inventory!$N$2:$N$319,Inventory!$G$2:$G$319,$A101,Inventory!$I$2:$I$319,$B101,Inventory!$J$2:$J$319,$C101,Inventory!$O$2:$O$319,"Listed")/E101)</x:f>
      </x:c>
      <x:c r="H101" s="257" t="str">
        <x:f>IF(E101=0,"",MINIFS(Inventory!$N$2:$N$319,Inventory!$G$2:$G$319,$A101,Inventory!$I$2:$I$319,$B101,Inventory!$J$2:$J$319,$C101,Inventory!$O$2:$O$319,"Listed"))</x:f>
      </x:c>
      <x:c r="I101" s="269" t="str">
        <x:f>IF(E101=0,"",MAXIFS(Inventory!$N$2:$N$319,Inventory!$G$2:$G$319,$A101,Inventory!$I$2:$I$319,$B101,Inventory!$J$2:$J$319,$C101,Inventory!$O$2:$O$319,"Listed"))</x:f>
      </x:c>
    </x:row>
    <x:row r="102">
      <x:c r="A102" s="48" t="str">
        <x:v>Used</x:v>
      </x:c>
      <x:c r="B102" s="49" t="str">
        <x:v>Hyundai</x:v>
      </x:c>
      <x:c r="C102" s="49" t="str">
        <x:v>Sonata</x:v>
      </x:c>
      <x:c r="D102" s="249" t="n">
        <x:f>COUNTIFS(Inventory!$G$2:$G$319,$A102,Inventory!$I$2:$I$319,$B102,Inventory!$J$2:$J$319,$C102)</x:f>
        <x:v>1</x:v>
      </x:c>
      <x:c r="E102" s="249" t="n">
        <x:f>COUNTIFS(Inventory!$G$2:$G$319,$A102,Inventory!$I$2:$I$319,$B102,Inventory!$J$2:$J$319,$C102,Inventory!$O$2:$O$319,"Listed")</x:f>
        <x:v>0</x:v>
      </x:c>
      <x:c r="F102" s="249" t="n">
        <x:f>COUNTIFS(Inventory!$G$2:$G$319,$A102,Inventory!$I$2:$I$319,$B102,Inventory!$J$2:$J$319,$C102,Inventory!$O$2:$O$319,"Price not exposed")</x:f>
        <x:v>1</x:v>
      </x:c>
      <x:c r="G102" s="257" t="str">
        <x:f>IF(E102=0,"",SUMIFS(Inventory!$N$2:$N$319,Inventory!$G$2:$G$319,$A102,Inventory!$I$2:$I$319,$B102,Inventory!$J$2:$J$319,$C102,Inventory!$O$2:$O$319,"Listed")/E102)</x:f>
      </x:c>
      <x:c r="H102" s="257" t="str">
        <x:f>IF(E102=0,"",MINIFS(Inventory!$N$2:$N$319,Inventory!$G$2:$G$319,$A102,Inventory!$I$2:$I$319,$B102,Inventory!$J$2:$J$319,$C102,Inventory!$O$2:$O$319,"Listed"))</x:f>
      </x:c>
      <x:c r="I102" s="269" t="str">
        <x:f>IF(E102=0,"",MAXIFS(Inventory!$N$2:$N$319,Inventory!$G$2:$G$319,$A102,Inventory!$I$2:$I$319,$B102,Inventory!$J$2:$J$319,$C102,Inventory!$O$2:$O$319,"Listed"))</x:f>
      </x:c>
    </x:row>
    <x:row r="103">
      <x:c r="A103" s="48" t="str">
        <x:v>Used</x:v>
      </x:c>
      <x:c r="B103" s="49" t="str">
        <x:v>Hyundai</x:v>
      </x:c>
      <x:c r="C103" s="49" t="str">
        <x:v>Veloster</x:v>
      </x:c>
      <x:c r="D103" s="249" t="n">
        <x:f>COUNTIFS(Inventory!$G$2:$G$319,$A103,Inventory!$I$2:$I$319,$B103,Inventory!$J$2:$J$319,$C103)</x:f>
        <x:v>1</x:v>
      </x:c>
      <x:c r="E103" s="249" t="n">
        <x:f>COUNTIFS(Inventory!$G$2:$G$319,$A103,Inventory!$I$2:$I$319,$B103,Inventory!$J$2:$J$319,$C103,Inventory!$O$2:$O$319,"Listed")</x:f>
        <x:v>0</x:v>
      </x:c>
      <x:c r="F103" s="249" t="n">
        <x:f>COUNTIFS(Inventory!$G$2:$G$319,$A103,Inventory!$I$2:$I$319,$B103,Inventory!$J$2:$J$319,$C103,Inventory!$O$2:$O$319,"Price not exposed")</x:f>
        <x:v>1</x:v>
      </x:c>
      <x:c r="G103" s="257" t="str">
        <x:f>IF(E103=0,"",SUMIFS(Inventory!$N$2:$N$319,Inventory!$G$2:$G$319,$A103,Inventory!$I$2:$I$319,$B103,Inventory!$J$2:$J$319,$C103,Inventory!$O$2:$O$319,"Listed")/E103)</x:f>
      </x:c>
      <x:c r="H103" s="257" t="str">
        <x:f>IF(E103=0,"",MINIFS(Inventory!$N$2:$N$319,Inventory!$G$2:$G$319,$A103,Inventory!$I$2:$I$319,$B103,Inventory!$J$2:$J$319,$C103,Inventory!$O$2:$O$319,"Listed"))</x:f>
      </x:c>
      <x:c r="I103" s="269" t="str">
        <x:f>IF(E103=0,"",MAXIFS(Inventory!$N$2:$N$319,Inventory!$G$2:$G$319,$A103,Inventory!$I$2:$I$319,$B103,Inventory!$J$2:$J$319,$C103,Inventory!$O$2:$O$319,"Listed"))</x:f>
      </x:c>
    </x:row>
    <x:row r="104">
      <x:c r="A104" s="48" t="str">
        <x:v>Used</x:v>
      </x:c>
      <x:c r="B104" s="49" t="str">
        <x:v>INFINITI</x:v>
      </x:c>
      <x:c r="C104" s="49" t="str">
        <x:v>G37</x:v>
      </x:c>
      <x:c r="D104" s="249" t="n">
        <x:f>COUNTIFS(Inventory!$G$2:$G$319,$A104,Inventory!$I$2:$I$319,$B104,Inventory!$J$2:$J$319,$C104)</x:f>
        <x:v>1</x:v>
      </x:c>
      <x:c r="E104" s="249" t="n">
        <x:f>COUNTIFS(Inventory!$G$2:$G$319,$A104,Inventory!$I$2:$I$319,$B104,Inventory!$J$2:$J$319,$C104,Inventory!$O$2:$O$319,"Listed")</x:f>
        <x:v>0</x:v>
      </x:c>
      <x:c r="F104" s="249" t="n">
        <x:f>COUNTIFS(Inventory!$G$2:$G$319,$A104,Inventory!$I$2:$I$319,$B104,Inventory!$J$2:$J$319,$C104,Inventory!$O$2:$O$319,"Price not exposed")</x:f>
        <x:v>1</x:v>
      </x:c>
      <x:c r="G104" s="257" t="str">
        <x:f>IF(E104=0,"",SUMIFS(Inventory!$N$2:$N$319,Inventory!$G$2:$G$319,$A104,Inventory!$I$2:$I$319,$B104,Inventory!$J$2:$J$319,$C104,Inventory!$O$2:$O$319,"Listed")/E104)</x:f>
      </x:c>
      <x:c r="H104" s="257" t="str">
        <x:f>IF(E104=0,"",MINIFS(Inventory!$N$2:$N$319,Inventory!$G$2:$G$319,$A104,Inventory!$I$2:$I$319,$B104,Inventory!$J$2:$J$319,$C104,Inventory!$O$2:$O$319,"Listed"))</x:f>
      </x:c>
      <x:c r="I104" s="269" t="str">
        <x:f>IF(E104=0,"",MAXIFS(Inventory!$N$2:$N$319,Inventory!$G$2:$G$319,$A104,Inventory!$I$2:$I$319,$B104,Inventory!$J$2:$J$319,$C104,Inventory!$O$2:$O$319,"Listed"))</x:f>
      </x:c>
    </x:row>
    <x:row r="105">
      <x:c r="A105" s="48" t="str">
        <x:v>Used</x:v>
      </x:c>
      <x:c r="B105" s="49" t="str">
        <x:v>INFINITI</x:v>
      </x:c>
      <x:c r="C105" s="49" t="str">
        <x:v>QX80</x:v>
      </x:c>
      <x:c r="D105" s="249" t="n">
        <x:f>COUNTIFS(Inventory!$G$2:$G$319,$A105,Inventory!$I$2:$I$319,$B105,Inventory!$J$2:$J$319,$C105)</x:f>
        <x:v>1</x:v>
      </x:c>
      <x:c r="E105" s="249" t="n">
        <x:f>COUNTIFS(Inventory!$G$2:$G$319,$A105,Inventory!$I$2:$I$319,$B105,Inventory!$J$2:$J$319,$C105,Inventory!$O$2:$O$319,"Listed")</x:f>
        <x:v>0</x:v>
      </x:c>
      <x:c r="F105" s="249" t="n">
        <x:f>COUNTIFS(Inventory!$G$2:$G$319,$A105,Inventory!$I$2:$I$319,$B105,Inventory!$J$2:$J$319,$C105,Inventory!$O$2:$O$319,"Price not exposed")</x:f>
        <x:v>1</x:v>
      </x:c>
      <x:c r="G105" s="257" t="str">
        <x:f>IF(E105=0,"",SUMIFS(Inventory!$N$2:$N$319,Inventory!$G$2:$G$319,$A105,Inventory!$I$2:$I$319,$B105,Inventory!$J$2:$J$319,$C105,Inventory!$O$2:$O$319,"Listed")/E105)</x:f>
      </x:c>
      <x:c r="H105" s="257" t="str">
        <x:f>IF(E105=0,"",MINIFS(Inventory!$N$2:$N$319,Inventory!$G$2:$G$319,$A105,Inventory!$I$2:$I$319,$B105,Inventory!$J$2:$J$319,$C105,Inventory!$O$2:$O$319,"Listed"))</x:f>
      </x:c>
      <x:c r="I105" s="269" t="str">
        <x:f>IF(E105=0,"",MAXIFS(Inventory!$N$2:$N$319,Inventory!$G$2:$G$319,$A105,Inventory!$I$2:$I$319,$B105,Inventory!$J$2:$J$319,$C105,Inventory!$O$2:$O$319,"Listed"))</x:f>
      </x:c>
    </x:row>
    <x:row r="106">
      <x:c r="A106" s="48" t="str">
        <x:v>Used</x:v>
      </x:c>
      <x:c r="B106" s="49" t="str">
        <x:v>Jaguar</x:v>
      </x:c>
      <x:c r="C106" s="49" t="str">
        <x:v>F-PACE</x:v>
      </x:c>
      <x:c r="D106" s="249" t="n">
        <x:f>COUNTIFS(Inventory!$G$2:$G$319,$A106,Inventory!$I$2:$I$319,$B106,Inventory!$J$2:$J$319,$C106)</x:f>
        <x:v>1</x:v>
      </x:c>
      <x:c r="E106" s="249" t="n">
        <x:f>COUNTIFS(Inventory!$G$2:$G$319,$A106,Inventory!$I$2:$I$319,$B106,Inventory!$J$2:$J$319,$C106,Inventory!$O$2:$O$319,"Listed")</x:f>
        <x:v>0</x:v>
      </x:c>
      <x:c r="F106" s="249" t="n">
        <x:f>COUNTIFS(Inventory!$G$2:$G$319,$A106,Inventory!$I$2:$I$319,$B106,Inventory!$J$2:$J$319,$C106,Inventory!$O$2:$O$319,"Price not exposed")</x:f>
        <x:v>1</x:v>
      </x:c>
      <x:c r="G106" s="257" t="str">
        <x:f>IF(E106=0,"",SUMIFS(Inventory!$N$2:$N$319,Inventory!$G$2:$G$319,$A106,Inventory!$I$2:$I$319,$B106,Inventory!$J$2:$J$319,$C106,Inventory!$O$2:$O$319,"Listed")/E106)</x:f>
      </x:c>
      <x:c r="H106" s="257" t="str">
        <x:f>IF(E106=0,"",MINIFS(Inventory!$N$2:$N$319,Inventory!$G$2:$G$319,$A106,Inventory!$I$2:$I$319,$B106,Inventory!$J$2:$J$319,$C106,Inventory!$O$2:$O$319,"Listed"))</x:f>
      </x:c>
      <x:c r="I106" s="269" t="str">
        <x:f>IF(E106=0,"",MAXIFS(Inventory!$N$2:$N$319,Inventory!$G$2:$G$319,$A106,Inventory!$I$2:$I$319,$B106,Inventory!$J$2:$J$319,$C106,Inventory!$O$2:$O$319,"Listed"))</x:f>
      </x:c>
    </x:row>
    <x:row r="107">
      <x:c r="A107" s="48" t="str">
        <x:v>Used</x:v>
      </x:c>
      <x:c r="B107" s="49" t="str">
        <x:v>Jeep</x:v>
      </x:c>
      <x:c r="C107" s="49" t="str">
        <x:v>Grand Wagoneer</x:v>
      </x:c>
      <x:c r="D107" s="249" t="n">
        <x:f>COUNTIFS(Inventory!$G$2:$G$319,$A107,Inventory!$I$2:$I$319,$B107,Inventory!$J$2:$J$319,$C107)</x:f>
        <x:v>1</x:v>
      </x:c>
      <x:c r="E107" s="249" t="n">
        <x:f>COUNTIFS(Inventory!$G$2:$G$319,$A107,Inventory!$I$2:$I$319,$B107,Inventory!$J$2:$J$319,$C107,Inventory!$O$2:$O$319,"Listed")</x:f>
        <x:v>1</x:v>
      </x:c>
      <x:c r="F107" s="249" t="n">
        <x:f>COUNTIFS(Inventory!$G$2:$G$319,$A107,Inventory!$I$2:$I$319,$B107,Inventory!$J$2:$J$319,$C107,Inventory!$O$2:$O$319,"Price not exposed")</x:f>
        <x:v>0</x:v>
      </x:c>
      <x:c r="G107" s="257" t="n">
        <x:f>IF(E107=0,"",SUMIFS(Inventory!$N$2:$N$319,Inventory!$G$2:$G$319,$A107,Inventory!$I$2:$I$319,$B107,Inventory!$J$2:$J$319,$C107,Inventory!$O$2:$O$319,"Listed")/E107)</x:f>
        <x:v>41995</x:v>
      </x:c>
      <x:c r="H107" s="257" t="n">
        <x:f>IF(E107=0,"",MINIFS(Inventory!$N$2:$N$319,Inventory!$G$2:$G$319,$A107,Inventory!$I$2:$I$319,$B107,Inventory!$J$2:$J$319,$C107,Inventory!$O$2:$O$319,"Listed"))</x:f>
        <x:v>41995</x:v>
      </x:c>
      <x:c r="I107" s="269" t="n">
        <x:f>IF(E107=0,"",MAXIFS(Inventory!$N$2:$N$319,Inventory!$G$2:$G$319,$A107,Inventory!$I$2:$I$319,$B107,Inventory!$J$2:$J$319,$C107,Inventory!$O$2:$O$319,"Listed"))</x:f>
        <x:v>41995</x:v>
      </x:c>
    </x:row>
    <x:row r="108">
      <x:c r="A108" s="48" t="str">
        <x:v>Used</x:v>
      </x:c>
      <x:c r="B108" s="49" t="str">
        <x:v>Jeep</x:v>
      </x:c>
      <x:c r="C108" s="49" t="str">
        <x:v>Patriot</x:v>
      </x:c>
      <x:c r="D108" s="249" t="n">
        <x:f>COUNTIFS(Inventory!$G$2:$G$319,$A108,Inventory!$I$2:$I$319,$B108,Inventory!$J$2:$J$319,$C108)</x:f>
        <x:v>1</x:v>
      </x:c>
      <x:c r="E108" s="249" t="n">
        <x:f>COUNTIFS(Inventory!$G$2:$G$319,$A108,Inventory!$I$2:$I$319,$B108,Inventory!$J$2:$J$319,$C108,Inventory!$O$2:$O$319,"Listed")</x:f>
        <x:v>0</x:v>
      </x:c>
      <x:c r="F108" s="249" t="n">
        <x:f>COUNTIFS(Inventory!$G$2:$G$319,$A108,Inventory!$I$2:$I$319,$B108,Inventory!$J$2:$J$319,$C108,Inventory!$O$2:$O$319,"Price not exposed")</x:f>
        <x:v>1</x:v>
      </x:c>
      <x:c r="G108" s="257" t="str">
        <x:f>IF(E108=0,"",SUMIFS(Inventory!$N$2:$N$319,Inventory!$G$2:$G$319,$A108,Inventory!$I$2:$I$319,$B108,Inventory!$J$2:$J$319,$C108,Inventory!$O$2:$O$319,"Listed")/E108)</x:f>
      </x:c>
      <x:c r="H108" s="257" t="str">
        <x:f>IF(E108=0,"",MINIFS(Inventory!$N$2:$N$319,Inventory!$G$2:$G$319,$A108,Inventory!$I$2:$I$319,$B108,Inventory!$J$2:$J$319,$C108,Inventory!$O$2:$O$319,"Listed"))</x:f>
      </x:c>
      <x:c r="I108" s="269" t="str">
        <x:f>IF(E108=0,"",MAXIFS(Inventory!$N$2:$N$319,Inventory!$G$2:$G$319,$A108,Inventory!$I$2:$I$319,$B108,Inventory!$J$2:$J$319,$C108,Inventory!$O$2:$O$319,"Listed"))</x:f>
      </x:c>
    </x:row>
    <x:row r="109">
      <x:c r="A109" s="48" t="str">
        <x:v>Used</x:v>
      </x:c>
      <x:c r="B109" s="49" t="str">
        <x:v>Jeep</x:v>
      </x:c>
      <x:c r="C109" s="49" t="str">
        <x:v>Renegade</x:v>
      </x:c>
      <x:c r="D109" s="249" t="n">
        <x:f>COUNTIFS(Inventory!$G$2:$G$319,$A109,Inventory!$I$2:$I$319,$B109,Inventory!$J$2:$J$319,$C109)</x:f>
        <x:v>1</x:v>
      </x:c>
      <x:c r="E109" s="249" t="n">
        <x:f>COUNTIFS(Inventory!$G$2:$G$319,$A109,Inventory!$I$2:$I$319,$B109,Inventory!$J$2:$J$319,$C109,Inventory!$O$2:$O$319,"Listed")</x:f>
        <x:v>0</x:v>
      </x:c>
      <x:c r="F109" s="249" t="n">
        <x:f>COUNTIFS(Inventory!$G$2:$G$319,$A109,Inventory!$I$2:$I$319,$B109,Inventory!$J$2:$J$319,$C109,Inventory!$O$2:$O$319,"Price not exposed")</x:f>
        <x:v>1</x:v>
      </x:c>
      <x:c r="G109" s="257" t="str">
        <x:f>IF(E109=0,"",SUMIFS(Inventory!$N$2:$N$319,Inventory!$G$2:$G$319,$A109,Inventory!$I$2:$I$319,$B109,Inventory!$J$2:$J$319,$C109,Inventory!$O$2:$O$319,"Listed")/E109)</x:f>
      </x:c>
      <x:c r="H109" s="257" t="str">
        <x:f>IF(E109=0,"",MINIFS(Inventory!$N$2:$N$319,Inventory!$G$2:$G$319,$A109,Inventory!$I$2:$I$319,$B109,Inventory!$J$2:$J$319,$C109,Inventory!$O$2:$O$319,"Listed"))</x:f>
      </x:c>
      <x:c r="I109" s="269" t="str">
        <x:f>IF(E109=0,"",MAXIFS(Inventory!$N$2:$N$319,Inventory!$G$2:$G$319,$A109,Inventory!$I$2:$I$319,$B109,Inventory!$J$2:$J$319,$C109,Inventory!$O$2:$O$319,"Listed"))</x:f>
      </x:c>
    </x:row>
    <x:row r="110">
      <x:c r="A110" s="48" t="str">
        <x:v>Used</x:v>
      </x:c>
      <x:c r="B110" s="49" t="str">
        <x:v>Jeep</x:v>
      </x:c>
      <x:c r="C110" s="49" t="str">
        <x:v>Wrangler</x:v>
      </x:c>
      <x:c r="D110" s="249" t="n">
        <x:f>COUNTIFS(Inventory!$G$2:$G$319,$A110,Inventory!$I$2:$I$319,$B110,Inventory!$J$2:$J$319,$C110)</x:f>
        <x:v>1</x:v>
      </x:c>
      <x:c r="E110" s="249" t="n">
        <x:f>COUNTIFS(Inventory!$G$2:$G$319,$A110,Inventory!$I$2:$I$319,$B110,Inventory!$J$2:$J$319,$C110,Inventory!$O$2:$O$319,"Listed")</x:f>
        <x:v>0</x:v>
      </x:c>
      <x:c r="F110" s="249" t="n">
        <x:f>COUNTIFS(Inventory!$G$2:$G$319,$A110,Inventory!$I$2:$I$319,$B110,Inventory!$J$2:$J$319,$C110,Inventory!$O$2:$O$319,"Price not exposed")</x:f>
        <x:v>1</x:v>
      </x:c>
      <x:c r="G110" s="257" t="str">
        <x:f>IF(E110=0,"",SUMIFS(Inventory!$N$2:$N$319,Inventory!$G$2:$G$319,$A110,Inventory!$I$2:$I$319,$B110,Inventory!$J$2:$J$319,$C110,Inventory!$O$2:$O$319,"Listed")/E110)</x:f>
      </x:c>
      <x:c r="H110" s="257" t="str">
        <x:f>IF(E110=0,"",MINIFS(Inventory!$N$2:$N$319,Inventory!$G$2:$G$319,$A110,Inventory!$I$2:$I$319,$B110,Inventory!$J$2:$J$319,$C110,Inventory!$O$2:$O$319,"Listed"))</x:f>
      </x:c>
      <x:c r="I110" s="269" t="str">
        <x:f>IF(E110=0,"",MAXIFS(Inventory!$N$2:$N$319,Inventory!$G$2:$G$319,$A110,Inventory!$I$2:$I$319,$B110,Inventory!$J$2:$J$319,$C110,Inventory!$O$2:$O$319,"Listed"))</x:f>
      </x:c>
    </x:row>
    <x:row r="111">
      <x:c r="A111" s="48" t="str">
        <x:v>Used</x:v>
      </x:c>
      <x:c r="B111" s="49" t="str">
        <x:v>Kia</x:v>
      </x:c>
      <x:c r="C111" s="49" t="str">
        <x:v>Forte</x:v>
      </x:c>
      <x:c r="D111" s="249" t="n">
        <x:f>COUNTIFS(Inventory!$G$2:$G$319,$A111,Inventory!$I$2:$I$319,$B111,Inventory!$J$2:$J$319,$C111)</x:f>
        <x:v>1</x:v>
      </x:c>
      <x:c r="E111" s="249" t="n">
        <x:f>COUNTIFS(Inventory!$G$2:$G$319,$A111,Inventory!$I$2:$I$319,$B111,Inventory!$J$2:$J$319,$C111,Inventory!$O$2:$O$319,"Listed")</x:f>
        <x:v>0</x:v>
      </x:c>
      <x:c r="F111" s="249" t="n">
        <x:f>COUNTIFS(Inventory!$G$2:$G$319,$A111,Inventory!$I$2:$I$319,$B111,Inventory!$J$2:$J$319,$C111,Inventory!$O$2:$O$319,"Price not exposed")</x:f>
        <x:v>1</x:v>
      </x:c>
      <x:c r="G111" s="257" t="str">
        <x:f>IF(E111=0,"",SUMIFS(Inventory!$N$2:$N$319,Inventory!$G$2:$G$319,$A111,Inventory!$I$2:$I$319,$B111,Inventory!$J$2:$J$319,$C111,Inventory!$O$2:$O$319,"Listed")/E111)</x:f>
      </x:c>
      <x:c r="H111" s="257" t="str">
        <x:f>IF(E111=0,"",MINIFS(Inventory!$N$2:$N$319,Inventory!$G$2:$G$319,$A111,Inventory!$I$2:$I$319,$B111,Inventory!$J$2:$J$319,$C111,Inventory!$O$2:$O$319,"Listed"))</x:f>
      </x:c>
      <x:c r="I111" s="269" t="str">
        <x:f>IF(E111=0,"",MAXIFS(Inventory!$N$2:$N$319,Inventory!$G$2:$G$319,$A111,Inventory!$I$2:$I$319,$B111,Inventory!$J$2:$J$319,$C111,Inventory!$O$2:$O$319,"Listed"))</x:f>
      </x:c>
    </x:row>
    <x:row r="112">
      <x:c r="A112" s="48" t="str">
        <x:v>Used</x:v>
      </x:c>
      <x:c r="B112" s="49" t="str">
        <x:v>Kia</x:v>
      </x:c>
      <x:c r="C112" s="49" t="str">
        <x:v>Optima</x:v>
      </x:c>
      <x:c r="D112" s="249" t="n">
        <x:f>COUNTIFS(Inventory!$G$2:$G$319,$A112,Inventory!$I$2:$I$319,$B112,Inventory!$J$2:$J$319,$C112)</x:f>
        <x:v>1</x:v>
      </x:c>
      <x:c r="E112" s="249" t="n">
        <x:f>COUNTIFS(Inventory!$G$2:$G$319,$A112,Inventory!$I$2:$I$319,$B112,Inventory!$J$2:$J$319,$C112,Inventory!$O$2:$O$319,"Listed")</x:f>
        <x:v>0</x:v>
      </x:c>
      <x:c r="F112" s="249" t="n">
        <x:f>COUNTIFS(Inventory!$G$2:$G$319,$A112,Inventory!$I$2:$I$319,$B112,Inventory!$J$2:$J$319,$C112,Inventory!$O$2:$O$319,"Price not exposed")</x:f>
        <x:v>1</x:v>
      </x:c>
      <x:c r="G112" s="257" t="str">
        <x:f>IF(E112=0,"",SUMIFS(Inventory!$N$2:$N$319,Inventory!$G$2:$G$319,$A112,Inventory!$I$2:$I$319,$B112,Inventory!$J$2:$J$319,$C112,Inventory!$O$2:$O$319,"Listed")/E112)</x:f>
      </x:c>
      <x:c r="H112" s="257" t="str">
        <x:f>IF(E112=0,"",MINIFS(Inventory!$N$2:$N$319,Inventory!$G$2:$G$319,$A112,Inventory!$I$2:$I$319,$B112,Inventory!$J$2:$J$319,$C112,Inventory!$O$2:$O$319,"Listed"))</x:f>
      </x:c>
      <x:c r="I112" s="269" t="str">
        <x:f>IF(E112=0,"",MAXIFS(Inventory!$N$2:$N$319,Inventory!$G$2:$G$319,$A112,Inventory!$I$2:$I$319,$B112,Inventory!$J$2:$J$319,$C112,Inventory!$O$2:$O$319,"Listed"))</x:f>
      </x:c>
    </x:row>
    <x:row r="113">
      <x:c r="A113" s="48" t="str">
        <x:v>Used</x:v>
      </x:c>
      <x:c r="B113" s="49" t="str">
        <x:v>Kia</x:v>
      </x:c>
      <x:c r="C113" s="49" t="str">
        <x:v>Stinger</x:v>
      </x:c>
      <x:c r="D113" s="249" t="n">
        <x:f>COUNTIFS(Inventory!$G$2:$G$319,$A113,Inventory!$I$2:$I$319,$B113,Inventory!$J$2:$J$319,$C113)</x:f>
        <x:v>1</x:v>
      </x:c>
      <x:c r="E113" s="249" t="n">
        <x:f>COUNTIFS(Inventory!$G$2:$G$319,$A113,Inventory!$I$2:$I$319,$B113,Inventory!$J$2:$J$319,$C113,Inventory!$O$2:$O$319,"Listed")</x:f>
        <x:v>0</x:v>
      </x:c>
      <x:c r="F113" s="249" t="n">
        <x:f>COUNTIFS(Inventory!$G$2:$G$319,$A113,Inventory!$I$2:$I$319,$B113,Inventory!$J$2:$J$319,$C113,Inventory!$O$2:$O$319,"Price not exposed")</x:f>
        <x:v>1</x:v>
      </x:c>
      <x:c r="G113" s="257" t="str">
        <x:f>IF(E113=0,"",SUMIFS(Inventory!$N$2:$N$319,Inventory!$G$2:$G$319,$A113,Inventory!$I$2:$I$319,$B113,Inventory!$J$2:$J$319,$C113,Inventory!$O$2:$O$319,"Listed")/E113)</x:f>
      </x:c>
      <x:c r="H113" s="257" t="str">
        <x:f>IF(E113=0,"",MINIFS(Inventory!$N$2:$N$319,Inventory!$G$2:$G$319,$A113,Inventory!$I$2:$I$319,$B113,Inventory!$J$2:$J$319,$C113,Inventory!$O$2:$O$319,"Listed"))</x:f>
      </x:c>
      <x:c r="I113" s="269" t="str">
        <x:f>IF(E113=0,"",MAXIFS(Inventory!$N$2:$N$319,Inventory!$G$2:$G$319,$A113,Inventory!$I$2:$I$319,$B113,Inventory!$J$2:$J$319,$C113,Inventory!$O$2:$O$319,"Listed"))</x:f>
      </x:c>
    </x:row>
    <x:row r="114">
      <x:c r="A114" s="48" t="str">
        <x:v>Used</x:v>
      </x:c>
      <x:c r="B114" s="49" t="str">
        <x:v>Kia</x:v>
      </x:c>
      <x:c r="C114" s="49" t="str">
        <x:v>Telluride</x:v>
      </x:c>
      <x:c r="D114" s="249" t="n">
        <x:f>COUNTIFS(Inventory!$G$2:$G$319,$A114,Inventory!$I$2:$I$319,$B114,Inventory!$J$2:$J$319,$C114)</x:f>
        <x:v>1</x:v>
      </x:c>
      <x:c r="E114" s="249" t="n">
        <x:f>COUNTIFS(Inventory!$G$2:$G$319,$A114,Inventory!$I$2:$I$319,$B114,Inventory!$J$2:$J$319,$C114,Inventory!$O$2:$O$319,"Listed")</x:f>
        <x:v>0</x:v>
      </x:c>
      <x:c r="F114" s="249" t="n">
        <x:f>COUNTIFS(Inventory!$G$2:$G$319,$A114,Inventory!$I$2:$I$319,$B114,Inventory!$J$2:$J$319,$C114,Inventory!$O$2:$O$319,"Price not exposed")</x:f>
        <x:v>1</x:v>
      </x:c>
      <x:c r="G114" s="257" t="str">
        <x:f>IF(E114=0,"",SUMIFS(Inventory!$N$2:$N$319,Inventory!$G$2:$G$319,$A114,Inventory!$I$2:$I$319,$B114,Inventory!$J$2:$J$319,$C114,Inventory!$O$2:$O$319,"Listed")/E114)</x:f>
      </x:c>
      <x:c r="H114" s="257" t="str">
        <x:f>IF(E114=0,"",MINIFS(Inventory!$N$2:$N$319,Inventory!$G$2:$G$319,$A114,Inventory!$I$2:$I$319,$B114,Inventory!$J$2:$J$319,$C114,Inventory!$O$2:$O$319,"Listed"))</x:f>
      </x:c>
      <x:c r="I114" s="269" t="str">
        <x:f>IF(E114=0,"",MAXIFS(Inventory!$N$2:$N$319,Inventory!$G$2:$G$319,$A114,Inventory!$I$2:$I$319,$B114,Inventory!$J$2:$J$319,$C114,Inventory!$O$2:$O$319,"Listed"))</x:f>
      </x:c>
    </x:row>
    <x:row r="115">
      <x:c r="A115" s="48" t="str">
        <x:v>Used</x:v>
      </x:c>
      <x:c r="B115" s="49" t="str">
        <x:v>Lexus</x:v>
      </x:c>
      <x:c r="C115" s="49" t="str">
        <x:v>RX 350</x:v>
      </x:c>
      <x:c r="D115" s="249" t="n">
        <x:f>COUNTIFS(Inventory!$G$2:$G$319,$A115,Inventory!$I$2:$I$319,$B115,Inventory!$J$2:$J$319,$C115)</x:f>
        <x:v>1</x:v>
      </x:c>
      <x:c r="E115" s="249" t="n">
        <x:f>COUNTIFS(Inventory!$G$2:$G$319,$A115,Inventory!$I$2:$I$319,$B115,Inventory!$J$2:$J$319,$C115,Inventory!$O$2:$O$319,"Listed")</x:f>
        <x:v>0</x:v>
      </x:c>
      <x:c r="F115" s="249" t="n">
        <x:f>COUNTIFS(Inventory!$G$2:$G$319,$A115,Inventory!$I$2:$I$319,$B115,Inventory!$J$2:$J$319,$C115,Inventory!$O$2:$O$319,"Price not exposed")</x:f>
        <x:v>1</x:v>
      </x:c>
      <x:c r="G115" s="257" t="str">
        <x:f>IF(E115=0,"",SUMIFS(Inventory!$N$2:$N$319,Inventory!$G$2:$G$319,$A115,Inventory!$I$2:$I$319,$B115,Inventory!$J$2:$J$319,$C115,Inventory!$O$2:$O$319,"Listed")/E115)</x:f>
      </x:c>
      <x:c r="H115" s="257" t="str">
        <x:f>IF(E115=0,"",MINIFS(Inventory!$N$2:$N$319,Inventory!$G$2:$G$319,$A115,Inventory!$I$2:$I$319,$B115,Inventory!$J$2:$J$319,$C115,Inventory!$O$2:$O$319,"Listed"))</x:f>
      </x:c>
      <x:c r="I115" s="269" t="str">
        <x:f>IF(E115=0,"",MAXIFS(Inventory!$N$2:$N$319,Inventory!$G$2:$G$319,$A115,Inventory!$I$2:$I$319,$B115,Inventory!$J$2:$J$319,$C115,Inventory!$O$2:$O$319,"Listed"))</x:f>
      </x:c>
    </x:row>
    <x:row r="116">
      <x:c r="A116" s="48" t="str">
        <x:v>Used</x:v>
      </x:c>
      <x:c r="B116" s="49" t="str">
        <x:v>Maserati</x:v>
      </x:c>
      <x:c r="C116" s="49" t="str">
        <x:v>Ghibli</x:v>
      </x:c>
      <x:c r="D116" s="249" t="n">
        <x:f>COUNTIFS(Inventory!$G$2:$G$319,$A116,Inventory!$I$2:$I$319,$B116,Inventory!$J$2:$J$319,$C116)</x:f>
        <x:v>1</x:v>
      </x:c>
      <x:c r="E116" s="249" t="n">
        <x:f>COUNTIFS(Inventory!$G$2:$G$319,$A116,Inventory!$I$2:$I$319,$B116,Inventory!$J$2:$J$319,$C116,Inventory!$O$2:$O$319,"Listed")</x:f>
        <x:v>1</x:v>
      </x:c>
      <x:c r="F116" s="249" t="n">
        <x:f>COUNTIFS(Inventory!$G$2:$G$319,$A116,Inventory!$I$2:$I$319,$B116,Inventory!$J$2:$J$319,$C116,Inventory!$O$2:$O$319,"Price not exposed")</x:f>
        <x:v>0</x:v>
      </x:c>
      <x:c r="G116" s="257" t="n">
        <x:f>IF(E116=0,"",SUMIFS(Inventory!$N$2:$N$319,Inventory!$G$2:$G$319,$A116,Inventory!$I$2:$I$319,$B116,Inventory!$J$2:$J$319,$C116,Inventory!$O$2:$O$319,"Listed")/E116)</x:f>
        <x:v>12895</x:v>
      </x:c>
      <x:c r="H116" s="257" t="n">
        <x:f>IF(E116=0,"",MINIFS(Inventory!$N$2:$N$319,Inventory!$G$2:$G$319,$A116,Inventory!$I$2:$I$319,$B116,Inventory!$J$2:$J$319,$C116,Inventory!$O$2:$O$319,"Listed"))</x:f>
        <x:v>12895</x:v>
      </x:c>
      <x:c r="I116" s="269" t="n">
        <x:f>IF(E116=0,"",MAXIFS(Inventory!$N$2:$N$319,Inventory!$G$2:$G$319,$A116,Inventory!$I$2:$I$319,$B116,Inventory!$J$2:$J$319,$C116,Inventory!$O$2:$O$319,"Listed"))</x:f>
        <x:v>12895</x:v>
      </x:c>
    </x:row>
    <x:row r="117">
      <x:c r="A117" s="48" t="str">
        <x:v>Used</x:v>
      </x:c>
      <x:c r="B117" s="49" t="str">
        <x:v>Mazda</x:v>
      </x:c>
      <x:c r="C117" s="49" t="str">
        <x:v>CX-50</x:v>
      </x:c>
      <x:c r="D117" s="249" t="n">
        <x:f>COUNTIFS(Inventory!$G$2:$G$319,$A117,Inventory!$I$2:$I$319,$B117,Inventory!$J$2:$J$319,$C117)</x:f>
        <x:v>1</x:v>
      </x:c>
      <x:c r="E117" s="249" t="n">
        <x:f>COUNTIFS(Inventory!$G$2:$G$319,$A117,Inventory!$I$2:$I$319,$B117,Inventory!$J$2:$J$319,$C117,Inventory!$O$2:$O$319,"Listed")</x:f>
        <x:v>0</x:v>
      </x:c>
      <x:c r="F117" s="249" t="n">
        <x:f>COUNTIFS(Inventory!$G$2:$G$319,$A117,Inventory!$I$2:$I$319,$B117,Inventory!$J$2:$J$319,$C117,Inventory!$O$2:$O$319,"Price not exposed")</x:f>
        <x:v>1</x:v>
      </x:c>
      <x:c r="G117" s="257" t="str">
        <x:f>IF(E117=0,"",SUMIFS(Inventory!$N$2:$N$319,Inventory!$G$2:$G$319,$A117,Inventory!$I$2:$I$319,$B117,Inventory!$J$2:$J$319,$C117,Inventory!$O$2:$O$319,"Listed")/E117)</x:f>
      </x:c>
      <x:c r="H117" s="257" t="str">
        <x:f>IF(E117=0,"",MINIFS(Inventory!$N$2:$N$319,Inventory!$G$2:$G$319,$A117,Inventory!$I$2:$I$319,$B117,Inventory!$J$2:$J$319,$C117,Inventory!$O$2:$O$319,"Listed"))</x:f>
      </x:c>
      <x:c r="I117" s="269" t="str">
        <x:f>IF(E117=0,"",MAXIFS(Inventory!$N$2:$N$319,Inventory!$G$2:$G$319,$A117,Inventory!$I$2:$I$319,$B117,Inventory!$J$2:$J$319,$C117,Inventory!$O$2:$O$319,"Listed"))</x:f>
      </x:c>
    </x:row>
    <x:row r="118">
      <x:c r="A118" s="48" t="str">
        <x:v>Used</x:v>
      </x:c>
      <x:c r="B118" s="49" t="str">
        <x:v>Mazda</x:v>
      </x:c>
      <x:c r="C118" s="49" t="str">
        <x:v>Mazda3</x:v>
      </x:c>
      <x:c r="D118" s="249" t="n">
        <x:f>COUNTIFS(Inventory!$G$2:$G$319,$A118,Inventory!$I$2:$I$319,$B118,Inventory!$J$2:$J$319,$C118)</x:f>
        <x:v>1</x:v>
      </x:c>
      <x:c r="E118" s="249" t="n">
        <x:f>COUNTIFS(Inventory!$G$2:$G$319,$A118,Inventory!$I$2:$I$319,$B118,Inventory!$J$2:$J$319,$C118,Inventory!$O$2:$O$319,"Listed")</x:f>
        <x:v>0</x:v>
      </x:c>
      <x:c r="F118" s="249" t="n">
        <x:f>COUNTIFS(Inventory!$G$2:$G$319,$A118,Inventory!$I$2:$I$319,$B118,Inventory!$J$2:$J$319,$C118,Inventory!$O$2:$O$319,"Price not exposed")</x:f>
        <x:v>1</x:v>
      </x:c>
      <x:c r="G118" s="257" t="str">
        <x:f>IF(E118=0,"",SUMIFS(Inventory!$N$2:$N$319,Inventory!$G$2:$G$319,$A118,Inventory!$I$2:$I$319,$B118,Inventory!$J$2:$J$319,$C118,Inventory!$O$2:$O$319,"Listed")/E118)</x:f>
      </x:c>
      <x:c r="H118" s="257" t="str">
        <x:f>IF(E118=0,"",MINIFS(Inventory!$N$2:$N$319,Inventory!$G$2:$G$319,$A118,Inventory!$I$2:$I$319,$B118,Inventory!$J$2:$J$319,$C118,Inventory!$O$2:$O$319,"Listed"))</x:f>
      </x:c>
      <x:c r="I118" s="269" t="str">
        <x:f>IF(E118=0,"",MAXIFS(Inventory!$N$2:$N$319,Inventory!$G$2:$G$319,$A118,Inventory!$I$2:$I$319,$B118,Inventory!$J$2:$J$319,$C118,Inventory!$O$2:$O$319,"Listed"))</x:f>
      </x:c>
    </x:row>
    <x:row r="119">
      <x:c r="A119" s="48" t="str">
        <x:v>Used</x:v>
      </x:c>
      <x:c r="B119" s="49" t="str">
        <x:v>Mazda</x:v>
      </x:c>
      <x:c r="C119" s="49" t="str">
        <x:v>Tribute</x:v>
      </x:c>
      <x:c r="D119" s="249" t="n">
        <x:f>COUNTIFS(Inventory!$G$2:$G$319,$A119,Inventory!$I$2:$I$319,$B119,Inventory!$J$2:$J$319,$C119)</x:f>
        <x:v>1</x:v>
      </x:c>
      <x:c r="E119" s="249" t="n">
        <x:f>COUNTIFS(Inventory!$G$2:$G$319,$A119,Inventory!$I$2:$I$319,$B119,Inventory!$J$2:$J$319,$C119,Inventory!$O$2:$O$319,"Listed")</x:f>
        <x:v>0</x:v>
      </x:c>
      <x:c r="F119" s="249" t="n">
        <x:f>COUNTIFS(Inventory!$G$2:$G$319,$A119,Inventory!$I$2:$I$319,$B119,Inventory!$J$2:$J$319,$C119,Inventory!$O$2:$O$319,"Price not exposed")</x:f>
        <x:v>1</x:v>
      </x:c>
      <x:c r="G119" s="257" t="str">
        <x:f>IF(E119=0,"",SUMIFS(Inventory!$N$2:$N$319,Inventory!$G$2:$G$319,$A119,Inventory!$I$2:$I$319,$B119,Inventory!$J$2:$J$319,$C119,Inventory!$O$2:$O$319,"Listed")/E119)</x:f>
      </x:c>
      <x:c r="H119" s="257" t="str">
        <x:f>IF(E119=0,"",MINIFS(Inventory!$N$2:$N$319,Inventory!$G$2:$G$319,$A119,Inventory!$I$2:$I$319,$B119,Inventory!$J$2:$J$319,$C119,Inventory!$O$2:$O$319,"Listed"))</x:f>
      </x:c>
      <x:c r="I119" s="269" t="str">
        <x:f>IF(E119=0,"",MAXIFS(Inventory!$N$2:$N$319,Inventory!$G$2:$G$319,$A119,Inventory!$I$2:$I$319,$B119,Inventory!$J$2:$J$319,$C119,Inventory!$O$2:$O$319,"Listed"))</x:f>
      </x:c>
    </x:row>
    <x:row r="120">
      <x:c r="A120" s="48" t="str">
        <x:v>Used</x:v>
      </x:c>
      <x:c r="B120" s="49" t="str">
        <x:v>Mercedes-Benz</x:v>
      </x:c>
      <x:c r="C120" s="49" t="str">
        <x:v>E-Class</x:v>
      </x:c>
      <x:c r="D120" s="249" t="n">
        <x:f>COUNTIFS(Inventory!$G$2:$G$319,$A120,Inventory!$I$2:$I$319,$B120,Inventory!$J$2:$J$319,$C120)</x:f>
        <x:v>1</x:v>
      </x:c>
      <x:c r="E120" s="249" t="n">
        <x:f>COUNTIFS(Inventory!$G$2:$G$319,$A120,Inventory!$I$2:$I$319,$B120,Inventory!$J$2:$J$319,$C120,Inventory!$O$2:$O$319,"Listed")</x:f>
        <x:v>0</x:v>
      </x:c>
      <x:c r="F120" s="249" t="n">
        <x:f>COUNTIFS(Inventory!$G$2:$G$319,$A120,Inventory!$I$2:$I$319,$B120,Inventory!$J$2:$J$319,$C120,Inventory!$O$2:$O$319,"Price not exposed")</x:f>
        <x:v>1</x:v>
      </x:c>
      <x:c r="G120" s="257" t="str">
        <x:f>IF(E120=0,"",SUMIFS(Inventory!$N$2:$N$319,Inventory!$G$2:$G$319,$A120,Inventory!$I$2:$I$319,$B120,Inventory!$J$2:$J$319,$C120,Inventory!$O$2:$O$319,"Listed")/E120)</x:f>
      </x:c>
      <x:c r="H120" s="257" t="str">
        <x:f>IF(E120=0,"",MINIFS(Inventory!$N$2:$N$319,Inventory!$G$2:$G$319,$A120,Inventory!$I$2:$I$319,$B120,Inventory!$J$2:$J$319,$C120,Inventory!$O$2:$O$319,"Listed"))</x:f>
      </x:c>
      <x:c r="I120" s="269" t="str">
        <x:f>IF(E120=0,"",MAXIFS(Inventory!$N$2:$N$319,Inventory!$G$2:$G$319,$A120,Inventory!$I$2:$I$319,$B120,Inventory!$J$2:$J$319,$C120,Inventory!$O$2:$O$319,"Listed"))</x:f>
      </x:c>
    </x:row>
    <x:row r="121">
      <x:c r="A121" s="48" t="str">
        <x:v>Used</x:v>
      </x:c>
      <x:c r="B121" s="49" t="str">
        <x:v>Mercedes-Benz</x:v>
      </x:c>
      <x:c r="C121" s="49" t="str">
        <x:v>GL-Class</x:v>
      </x:c>
      <x:c r="D121" s="249" t="n">
        <x:f>COUNTIFS(Inventory!$G$2:$G$319,$A121,Inventory!$I$2:$I$319,$B121,Inventory!$J$2:$J$319,$C121)</x:f>
        <x:v>1</x:v>
      </x:c>
      <x:c r="E121" s="249" t="n">
        <x:f>COUNTIFS(Inventory!$G$2:$G$319,$A121,Inventory!$I$2:$I$319,$B121,Inventory!$J$2:$J$319,$C121,Inventory!$O$2:$O$319,"Listed")</x:f>
        <x:v>0</x:v>
      </x:c>
      <x:c r="F121" s="249" t="n">
        <x:f>COUNTIFS(Inventory!$G$2:$G$319,$A121,Inventory!$I$2:$I$319,$B121,Inventory!$J$2:$J$319,$C121,Inventory!$O$2:$O$319,"Price not exposed")</x:f>
        <x:v>1</x:v>
      </x:c>
      <x:c r="G121" s="257" t="str">
        <x:f>IF(E121=0,"",SUMIFS(Inventory!$N$2:$N$319,Inventory!$G$2:$G$319,$A121,Inventory!$I$2:$I$319,$B121,Inventory!$J$2:$J$319,$C121,Inventory!$O$2:$O$319,"Listed")/E121)</x:f>
      </x:c>
      <x:c r="H121" s="257" t="str">
        <x:f>IF(E121=0,"",MINIFS(Inventory!$N$2:$N$319,Inventory!$G$2:$G$319,$A121,Inventory!$I$2:$I$319,$B121,Inventory!$J$2:$J$319,$C121,Inventory!$O$2:$O$319,"Listed"))</x:f>
      </x:c>
      <x:c r="I121" s="269" t="str">
        <x:f>IF(E121=0,"",MAXIFS(Inventory!$N$2:$N$319,Inventory!$G$2:$G$319,$A121,Inventory!$I$2:$I$319,$B121,Inventory!$J$2:$J$319,$C121,Inventory!$O$2:$O$319,"Listed"))</x:f>
      </x:c>
    </x:row>
    <x:row r="122">
      <x:c r="A122" s="48" t="str">
        <x:v>Used</x:v>
      </x:c>
      <x:c r="B122" s="49" t="str">
        <x:v>Mercedes-Benz</x:v>
      </x:c>
      <x:c r="C122" s="49" t="str">
        <x:v>GLC</x:v>
      </x:c>
      <x:c r="D122" s="249" t="n">
        <x:f>COUNTIFS(Inventory!$G$2:$G$319,$A122,Inventory!$I$2:$I$319,$B122,Inventory!$J$2:$J$319,$C122)</x:f>
        <x:v>1</x:v>
      </x:c>
      <x:c r="E122" s="249" t="n">
        <x:f>COUNTIFS(Inventory!$G$2:$G$319,$A122,Inventory!$I$2:$I$319,$B122,Inventory!$J$2:$J$319,$C122,Inventory!$O$2:$O$319,"Listed")</x:f>
        <x:v>0</x:v>
      </x:c>
      <x:c r="F122" s="249" t="n">
        <x:f>COUNTIFS(Inventory!$G$2:$G$319,$A122,Inventory!$I$2:$I$319,$B122,Inventory!$J$2:$J$319,$C122,Inventory!$O$2:$O$319,"Price not exposed")</x:f>
        <x:v>1</x:v>
      </x:c>
      <x:c r="G122" s="257" t="str">
        <x:f>IF(E122=0,"",SUMIFS(Inventory!$N$2:$N$319,Inventory!$G$2:$G$319,$A122,Inventory!$I$2:$I$319,$B122,Inventory!$J$2:$J$319,$C122,Inventory!$O$2:$O$319,"Listed")/E122)</x:f>
      </x:c>
      <x:c r="H122" s="257" t="str">
        <x:f>IF(E122=0,"",MINIFS(Inventory!$N$2:$N$319,Inventory!$G$2:$G$319,$A122,Inventory!$I$2:$I$319,$B122,Inventory!$J$2:$J$319,$C122,Inventory!$O$2:$O$319,"Listed"))</x:f>
      </x:c>
      <x:c r="I122" s="269" t="str">
        <x:f>IF(E122=0,"",MAXIFS(Inventory!$N$2:$N$319,Inventory!$G$2:$G$319,$A122,Inventory!$I$2:$I$319,$B122,Inventory!$J$2:$J$319,$C122,Inventory!$O$2:$O$319,"Listed"))</x:f>
      </x:c>
    </x:row>
    <x:row r="123">
      <x:c r="A123" s="48" t="str">
        <x:v>Used</x:v>
      </x:c>
      <x:c r="B123" s="49" t="str">
        <x:v>Mercedes-Benz</x:v>
      </x:c>
      <x:c r="C123" s="49" t="str">
        <x:v>GLS</x:v>
      </x:c>
      <x:c r="D123" s="249" t="n">
        <x:f>COUNTIFS(Inventory!$G$2:$G$319,$A123,Inventory!$I$2:$I$319,$B123,Inventory!$J$2:$J$319,$C123)</x:f>
        <x:v>1</x:v>
      </x:c>
      <x:c r="E123" s="249" t="n">
        <x:f>COUNTIFS(Inventory!$G$2:$G$319,$A123,Inventory!$I$2:$I$319,$B123,Inventory!$J$2:$J$319,$C123,Inventory!$O$2:$O$319,"Listed")</x:f>
        <x:v>0</x:v>
      </x:c>
      <x:c r="F123" s="249" t="n">
        <x:f>COUNTIFS(Inventory!$G$2:$G$319,$A123,Inventory!$I$2:$I$319,$B123,Inventory!$J$2:$J$319,$C123,Inventory!$O$2:$O$319,"Price not exposed")</x:f>
        <x:v>1</x:v>
      </x:c>
      <x:c r="G123" s="257" t="str">
        <x:f>IF(E123=0,"",SUMIFS(Inventory!$N$2:$N$319,Inventory!$G$2:$G$319,$A123,Inventory!$I$2:$I$319,$B123,Inventory!$J$2:$J$319,$C123,Inventory!$O$2:$O$319,"Listed")/E123)</x:f>
      </x:c>
      <x:c r="H123" s="257" t="str">
        <x:f>IF(E123=0,"",MINIFS(Inventory!$N$2:$N$319,Inventory!$G$2:$G$319,$A123,Inventory!$I$2:$I$319,$B123,Inventory!$J$2:$J$319,$C123,Inventory!$O$2:$O$319,"Listed"))</x:f>
      </x:c>
      <x:c r="I123" s="269" t="str">
        <x:f>IF(E123=0,"",MAXIFS(Inventory!$N$2:$N$319,Inventory!$G$2:$G$319,$A123,Inventory!$I$2:$I$319,$B123,Inventory!$J$2:$J$319,$C123,Inventory!$O$2:$O$319,"Listed"))</x:f>
      </x:c>
    </x:row>
    <x:row r="124">
      <x:c r="A124" s="48" t="str">
        <x:v>Used</x:v>
      </x:c>
      <x:c r="B124" s="49" t="str">
        <x:v>Mitsubishi</x:v>
      </x:c>
      <x:c r="C124" s="49" t="str">
        <x:v>Mirage G4</x:v>
      </x:c>
      <x:c r="D124" s="249" t="n">
        <x:f>COUNTIFS(Inventory!$G$2:$G$319,$A124,Inventory!$I$2:$I$319,$B124,Inventory!$J$2:$J$319,$C124)</x:f>
        <x:v>1</x:v>
      </x:c>
      <x:c r="E124" s="249" t="n">
        <x:f>COUNTIFS(Inventory!$G$2:$G$319,$A124,Inventory!$I$2:$I$319,$B124,Inventory!$J$2:$J$319,$C124,Inventory!$O$2:$O$319,"Listed")</x:f>
        <x:v>0</x:v>
      </x:c>
      <x:c r="F124" s="249" t="n">
        <x:f>COUNTIFS(Inventory!$G$2:$G$319,$A124,Inventory!$I$2:$I$319,$B124,Inventory!$J$2:$J$319,$C124,Inventory!$O$2:$O$319,"Price not exposed")</x:f>
        <x:v>1</x:v>
      </x:c>
      <x:c r="G124" s="257" t="str">
        <x:f>IF(E124=0,"",SUMIFS(Inventory!$N$2:$N$319,Inventory!$G$2:$G$319,$A124,Inventory!$I$2:$I$319,$B124,Inventory!$J$2:$J$319,$C124,Inventory!$O$2:$O$319,"Listed")/E124)</x:f>
      </x:c>
      <x:c r="H124" s="257" t="str">
        <x:f>IF(E124=0,"",MINIFS(Inventory!$N$2:$N$319,Inventory!$G$2:$G$319,$A124,Inventory!$I$2:$I$319,$B124,Inventory!$J$2:$J$319,$C124,Inventory!$O$2:$O$319,"Listed"))</x:f>
      </x:c>
      <x:c r="I124" s="269" t="str">
        <x:f>IF(E124=0,"",MAXIFS(Inventory!$N$2:$N$319,Inventory!$G$2:$G$319,$A124,Inventory!$I$2:$I$319,$B124,Inventory!$J$2:$J$319,$C124,Inventory!$O$2:$O$319,"Listed"))</x:f>
      </x:c>
    </x:row>
    <x:row r="125">
      <x:c r="A125" s="48" t="str">
        <x:v>Used</x:v>
      </x:c>
      <x:c r="B125" s="49" t="str">
        <x:v>Mitsubishi</x:v>
      </x:c>
      <x:c r="C125" s="49" t="str">
        <x:v>Outlander</x:v>
      </x:c>
      <x:c r="D125" s="249" t="n">
        <x:f>COUNTIFS(Inventory!$G$2:$G$319,$A125,Inventory!$I$2:$I$319,$B125,Inventory!$J$2:$J$319,$C125)</x:f>
        <x:v>1</x:v>
      </x:c>
      <x:c r="E125" s="249" t="n">
        <x:f>COUNTIFS(Inventory!$G$2:$G$319,$A125,Inventory!$I$2:$I$319,$B125,Inventory!$J$2:$J$319,$C125,Inventory!$O$2:$O$319,"Listed")</x:f>
        <x:v>0</x:v>
      </x:c>
      <x:c r="F125" s="249" t="n">
        <x:f>COUNTIFS(Inventory!$G$2:$G$319,$A125,Inventory!$I$2:$I$319,$B125,Inventory!$J$2:$J$319,$C125,Inventory!$O$2:$O$319,"Price not exposed")</x:f>
        <x:v>1</x:v>
      </x:c>
      <x:c r="G125" s="257" t="str">
        <x:f>IF(E125=0,"",SUMIFS(Inventory!$N$2:$N$319,Inventory!$G$2:$G$319,$A125,Inventory!$I$2:$I$319,$B125,Inventory!$J$2:$J$319,$C125,Inventory!$O$2:$O$319,"Listed")/E125)</x:f>
      </x:c>
      <x:c r="H125" s="257" t="str">
        <x:f>IF(E125=0,"",MINIFS(Inventory!$N$2:$N$319,Inventory!$G$2:$G$319,$A125,Inventory!$I$2:$I$319,$B125,Inventory!$J$2:$J$319,$C125,Inventory!$O$2:$O$319,"Listed"))</x:f>
      </x:c>
      <x:c r="I125" s="269" t="str">
        <x:f>IF(E125=0,"",MAXIFS(Inventory!$N$2:$N$319,Inventory!$G$2:$G$319,$A125,Inventory!$I$2:$I$319,$B125,Inventory!$J$2:$J$319,$C125,Inventory!$O$2:$O$319,"Listed"))</x:f>
      </x:c>
    </x:row>
    <x:row r="126">
      <x:c r="A126" s="48" t="str">
        <x:v>Used</x:v>
      </x:c>
      <x:c r="B126" s="49" t="str">
        <x:v>Nissan</x:v>
      </x:c>
      <x:c r="C126" s="49" t="str">
        <x:v>Altima</x:v>
      </x:c>
      <x:c r="D126" s="249" t="n">
        <x:f>COUNTIFS(Inventory!$G$2:$G$319,$A126,Inventory!$I$2:$I$319,$B126,Inventory!$J$2:$J$319,$C126)</x:f>
        <x:v>1</x:v>
      </x:c>
      <x:c r="E126" s="249" t="n">
        <x:f>COUNTIFS(Inventory!$G$2:$G$319,$A126,Inventory!$I$2:$I$319,$B126,Inventory!$J$2:$J$319,$C126,Inventory!$O$2:$O$319,"Listed")</x:f>
        <x:v>0</x:v>
      </x:c>
      <x:c r="F126" s="249" t="n">
        <x:f>COUNTIFS(Inventory!$G$2:$G$319,$A126,Inventory!$I$2:$I$319,$B126,Inventory!$J$2:$J$319,$C126,Inventory!$O$2:$O$319,"Price not exposed")</x:f>
        <x:v>1</x:v>
      </x:c>
      <x:c r="G126" s="257" t="str">
        <x:f>IF(E126=0,"",SUMIFS(Inventory!$N$2:$N$319,Inventory!$G$2:$G$319,$A126,Inventory!$I$2:$I$319,$B126,Inventory!$J$2:$J$319,$C126,Inventory!$O$2:$O$319,"Listed")/E126)</x:f>
      </x:c>
      <x:c r="H126" s="257" t="str">
        <x:f>IF(E126=0,"",MINIFS(Inventory!$N$2:$N$319,Inventory!$G$2:$G$319,$A126,Inventory!$I$2:$I$319,$B126,Inventory!$J$2:$J$319,$C126,Inventory!$O$2:$O$319,"Listed"))</x:f>
      </x:c>
      <x:c r="I126" s="269" t="str">
        <x:f>IF(E126=0,"",MAXIFS(Inventory!$N$2:$N$319,Inventory!$G$2:$G$319,$A126,Inventory!$I$2:$I$319,$B126,Inventory!$J$2:$J$319,$C126,Inventory!$O$2:$O$319,"Listed"))</x:f>
      </x:c>
    </x:row>
    <x:row r="127">
      <x:c r="A127" s="48" t="str">
        <x:v>Used</x:v>
      </x:c>
      <x:c r="B127" s="49" t="str">
        <x:v>Nissan</x:v>
      </x:c>
      <x:c r="C127" s="49" t="str">
        <x:v>Frontier</x:v>
      </x:c>
      <x:c r="D127" s="249" t="n">
        <x:f>COUNTIFS(Inventory!$G$2:$G$319,$A127,Inventory!$I$2:$I$319,$B127,Inventory!$J$2:$J$319,$C127)</x:f>
        <x:v>1</x:v>
      </x:c>
      <x:c r="E127" s="249" t="n">
        <x:f>COUNTIFS(Inventory!$G$2:$G$319,$A127,Inventory!$I$2:$I$319,$B127,Inventory!$J$2:$J$319,$C127,Inventory!$O$2:$O$319,"Listed")</x:f>
        <x:v>0</x:v>
      </x:c>
      <x:c r="F127" s="249" t="n">
        <x:f>COUNTIFS(Inventory!$G$2:$G$319,$A127,Inventory!$I$2:$I$319,$B127,Inventory!$J$2:$J$319,$C127,Inventory!$O$2:$O$319,"Price not exposed")</x:f>
        <x:v>1</x:v>
      </x:c>
      <x:c r="G127" s="257" t="str">
        <x:f>IF(E127=0,"",SUMIFS(Inventory!$N$2:$N$319,Inventory!$G$2:$G$319,$A127,Inventory!$I$2:$I$319,$B127,Inventory!$J$2:$J$319,$C127,Inventory!$O$2:$O$319,"Listed")/E127)</x:f>
      </x:c>
      <x:c r="H127" s="257" t="str">
        <x:f>IF(E127=0,"",MINIFS(Inventory!$N$2:$N$319,Inventory!$G$2:$G$319,$A127,Inventory!$I$2:$I$319,$B127,Inventory!$J$2:$J$319,$C127,Inventory!$O$2:$O$319,"Listed"))</x:f>
      </x:c>
      <x:c r="I127" s="269" t="str">
        <x:f>IF(E127=0,"",MAXIFS(Inventory!$N$2:$N$319,Inventory!$G$2:$G$319,$A127,Inventory!$I$2:$I$319,$B127,Inventory!$J$2:$J$319,$C127,Inventory!$O$2:$O$319,"Listed"))</x:f>
      </x:c>
    </x:row>
    <x:row r="128">
      <x:c r="A128" s="48" t="str">
        <x:v>Used</x:v>
      </x:c>
      <x:c r="B128" s="49" t="str">
        <x:v>Nissan</x:v>
      </x:c>
      <x:c r="C128" s="49" t="str">
        <x:v>Murano</x:v>
      </x:c>
      <x:c r="D128" s="249" t="n">
        <x:f>COUNTIFS(Inventory!$G$2:$G$319,$A128,Inventory!$I$2:$I$319,$B128,Inventory!$J$2:$J$319,$C128)</x:f>
        <x:v>1</x:v>
      </x:c>
      <x:c r="E128" s="249" t="n">
        <x:f>COUNTIFS(Inventory!$G$2:$G$319,$A128,Inventory!$I$2:$I$319,$B128,Inventory!$J$2:$J$319,$C128,Inventory!$O$2:$O$319,"Listed")</x:f>
        <x:v>0</x:v>
      </x:c>
      <x:c r="F128" s="249" t="n">
        <x:f>COUNTIFS(Inventory!$G$2:$G$319,$A128,Inventory!$I$2:$I$319,$B128,Inventory!$J$2:$J$319,$C128,Inventory!$O$2:$O$319,"Price not exposed")</x:f>
        <x:v>1</x:v>
      </x:c>
      <x:c r="G128" s="257" t="str">
        <x:f>IF(E128=0,"",SUMIFS(Inventory!$N$2:$N$319,Inventory!$G$2:$G$319,$A128,Inventory!$I$2:$I$319,$B128,Inventory!$J$2:$J$319,$C128,Inventory!$O$2:$O$319,"Listed")/E128)</x:f>
      </x:c>
      <x:c r="H128" s="257" t="str">
        <x:f>IF(E128=0,"",MINIFS(Inventory!$N$2:$N$319,Inventory!$G$2:$G$319,$A128,Inventory!$I$2:$I$319,$B128,Inventory!$J$2:$J$319,$C128,Inventory!$O$2:$O$319,"Listed"))</x:f>
      </x:c>
      <x:c r="I128" s="269" t="str">
        <x:f>IF(E128=0,"",MAXIFS(Inventory!$N$2:$N$319,Inventory!$G$2:$G$319,$A128,Inventory!$I$2:$I$319,$B128,Inventory!$J$2:$J$319,$C128,Inventory!$O$2:$O$319,"Listed"))</x:f>
      </x:c>
    </x:row>
    <x:row r="129">
      <x:c r="A129" s="48" t="str">
        <x:v>Used</x:v>
      </x:c>
      <x:c r="B129" s="49" t="str">
        <x:v>Nissan</x:v>
      </x:c>
      <x:c r="C129" s="49" t="str">
        <x:v>Titan</x:v>
      </x:c>
      <x:c r="D129" s="249" t="n">
        <x:f>COUNTIFS(Inventory!$G$2:$G$319,$A129,Inventory!$I$2:$I$319,$B129,Inventory!$J$2:$J$319,$C129)</x:f>
        <x:v>1</x:v>
      </x:c>
      <x:c r="E129" s="249" t="n">
        <x:f>COUNTIFS(Inventory!$G$2:$G$319,$A129,Inventory!$I$2:$I$319,$B129,Inventory!$J$2:$J$319,$C129,Inventory!$O$2:$O$319,"Listed")</x:f>
        <x:v>0</x:v>
      </x:c>
      <x:c r="F129" s="249" t="n">
        <x:f>COUNTIFS(Inventory!$G$2:$G$319,$A129,Inventory!$I$2:$I$319,$B129,Inventory!$J$2:$J$319,$C129,Inventory!$O$2:$O$319,"Price not exposed")</x:f>
        <x:v>1</x:v>
      </x:c>
      <x:c r="G129" s="257" t="str">
        <x:f>IF(E129=0,"",SUMIFS(Inventory!$N$2:$N$319,Inventory!$G$2:$G$319,$A129,Inventory!$I$2:$I$319,$B129,Inventory!$J$2:$J$319,$C129,Inventory!$O$2:$O$319,"Listed")/E129)</x:f>
      </x:c>
      <x:c r="H129" s="257" t="str">
        <x:f>IF(E129=0,"",MINIFS(Inventory!$N$2:$N$319,Inventory!$G$2:$G$319,$A129,Inventory!$I$2:$I$319,$B129,Inventory!$J$2:$J$319,$C129,Inventory!$O$2:$O$319,"Listed"))</x:f>
      </x:c>
      <x:c r="I129" s="269" t="str">
        <x:f>IF(E129=0,"",MAXIFS(Inventory!$N$2:$N$319,Inventory!$G$2:$G$319,$A129,Inventory!$I$2:$I$319,$B129,Inventory!$J$2:$J$319,$C129,Inventory!$O$2:$O$319,"Listed"))</x:f>
      </x:c>
    </x:row>
    <x:row r="130">
      <x:c r="A130" s="48" t="str">
        <x:v>Used</x:v>
      </x:c>
      <x:c r="B130" s="49" t="str">
        <x:v>Porsche</x:v>
      </x:c>
      <x:c r="C130" s="49" t="str">
        <x:v>Macan</x:v>
      </x:c>
      <x:c r="D130" s="249" t="n">
        <x:f>COUNTIFS(Inventory!$G$2:$G$319,$A130,Inventory!$I$2:$I$319,$B130,Inventory!$J$2:$J$319,$C130)</x:f>
        <x:v>1</x:v>
      </x:c>
      <x:c r="E130" s="249" t="n">
        <x:f>COUNTIFS(Inventory!$G$2:$G$319,$A130,Inventory!$I$2:$I$319,$B130,Inventory!$J$2:$J$319,$C130,Inventory!$O$2:$O$319,"Listed")</x:f>
        <x:v>0</x:v>
      </x:c>
      <x:c r="F130" s="249" t="n">
        <x:f>COUNTIFS(Inventory!$G$2:$G$319,$A130,Inventory!$I$2:$I$319,$B130,Inventory!$J$2:$J$319,$C130,Inventory!$O$2:$O$319,"Price not exposed")</x:f>
        <x:v>1</x:v>
      </x:c>
      <x:c r="G130" s="257" t="str">
        <x:f>IF(E130=0,"",SUMIFS(Inventory!$N$2:$N$319,Inventory!$G$2:$G$319,$A130,Inventory!$I$2:$I$319,$B130,Inventory!$J$2:$J$319,$C130,Inventory!$O$2:$O$319,"Listed")/E130)</x:f>
      </x:c>
      <x:c r="H130" s="257" t="str">
        <x:f>IF(E130=0,"",MINIFS(Inventory!$N$2:$N$319,Inventory!$G$2:$G$319,$A130,Inventory!$I$2:$I$319,$B130,Inventory!$J$2:$J$319,$C130,Inventory!$O$2:$O$319,"Listed"))</x:f>
      </x:c>
      <x:c r="I130" s="269" t="str">
        <x:f>IF(E130=0,"",MAXIFS(Inventory!$N$2:$N$319,Inventory!$G$2:$G$319,$A130,Inventory!$I$2:$I$319,$B130,Inventory!$J$2:$J$319,$C130,Inventory!$O$2:$O$319,"Listed"))</x:f>
      </x:c>
    </x:row>
    <x:row r="131">
      <x:c r="A131" s="48" t="str">
        <x:v>Used</x:v>
      </x:c>
      <x:c r="B131" s="49" t="str">
        <x:v>Porsche</x:v>
      </x:c>
      <x:c r="C131" s="49" t="str">
        <x:v>Panamera</x:v>
      </x:c>
      <x:c r="D131" s="249" t="n">
        <x:f>COUNTIFS(Inventory!$G$2:$G$319,$A131,Inventory!$I$2:$I$319,$B131,Inventory!$J$2:$J$319,$C131)</x:f>
        <x:v>1</x:v>
      </x:c>
      <x:c r="E131" s="249" t="n">
        <x:f>COUNTIFS(Inventory!$G$2:$G$319,$A131,Inventory!$I$2:$I$319,$B131,Inventory!$J$2:$J$319,$C131,Inventory!$O$2:$O$319,"Listed")</x:f>
        <x:v>0</x:v>
      </x:c>
      <x:c r="F131" s="249" t="n">
        <x:f>COUNTIFS(Inventory!$G$2:$G$319,$A131,Inventory!$I$2:$I$319,$B131,Inventory!$J$2:$J$319,$C131,Inventory!$O$2:$O$319,"Price not exposed")</x:f>
        <x:v>1</x:v>
      </x:c>
      <x:c r="G131" s="257" t="str">
        <x:f>IF(E131=0,"",SUMIFS(Inventory!$N$2:$N$319,Inventory!$G$2:$G$319,$A131,Inventory!$I$2:$I$319,$B131,Inventory!$J$2:$J$319,$C131,Inventory!$O$2:$O$319,"Listed")/E131)</x:f>
      </x:c>
      <x:c r="H131" s="257" t="str">
        <x:f>IF(E131=0,"",MINIFS(Inventory!$N$2:$N$319,Inventory!$G$2:$G$319,$A131,Inventory!$I$2:$I$319,$B131,Inventory!$J$2:$J$319,$C131,Inventory!$O$2:$O$319,"Listed"))</x:f>
      </x:c>
      <x:c r="I131" s="269" t="str">
        <x:f>IF(E131=0,"",MAXIFS(Inventory!$N$2:$N$319,Inventory!$G$2:$G$319,$A131,Inventory!$I$2:$I$319,$B131,Inventory!$J$2:$J$319,$C131,Inventory!$O$2:$O$319,"Listed"))</x:f>
      </x:c>
    </x:row>
    <x:row r="132">
      <x:c r="A132" s="48" t="str">
        <x:v>Used</x:v>
      </x:c>
      <x:c r="B132" s="49" t="str">
        <x:v>Subaru</x:v>
      </x:c>
      <x:c r="C132" s="49" t="str">
        <x:v>WRX</x:v>
      </x:c>
      <x:c r="D132" s="249" t="n">
        <x:f>COUNTIFS(Inventory!$G$2:$G$319,$A132,Inventory!$I$2:$I$319,$B132,Inventory!$J$2:$J$319,$C132)</x:f>
        <x:v>1</x:v>
      </x:c>
      <x:c r="E132" s="249" t="n">
        <x:f>COUNTIFS(Inventory!$G$2:$G$319,$A132,Inventory!$I$2:$I$319,$B132,Inventory!$J$2:$J$319,$C132,Inventory!$O$2:$O$319,"Listed")</x:f>
        <x:v>0</x:v>
      </x:c>
      <x:c r="F132" s="249" t="n">
        <x:f>COUNTIFS(Inventory!$G$2:$G$319,$A132,Inventory!$I$2:$I$319,$B132,Inventory!$J$2:$J$319,$C132,Inventory!$O$2:$O$319,"Price not exposed")</x:f>
        <x:v>1</x:v>
      </x:c>
      <x:c r="G132" s="257" t="str">
        <x:f>IF(E132=0,"",SUMIFS(Inventory!$N$2:$N$319,Inventory!$G$2:$G$319,$A132,Inventory!$I$2:$I$319,$B132,Inventory!$J$2:$J$319,$C132,Inventory!$O$2:$O$319,"Listed")/E132)</x:f>
      </x:c>
      <x:c r="H132" s="257" t="str">
        <x:f>IF(E132=0,"",MINIFS(Inventory!$N$2:$N$319,Inventory!$G$2:$G$319,$A132,Inventory!$I$2:$I$319,$B132,Inventory!$J$2:$J$319,$C132,Inventory!$O$2:$O$319,"Listed"))</x:f>
      </x:c>
      <x:c r="I132" s="269" t="str">
        <x:f>IF(E132=0,"",MAXIFS(Inventory!$N$2:$N$319,Inventory!$G$2:$G$319,$A132,Inventory!$I$2:$I$319,$B132,Inventory!$J$2:$J$319,$C132,Inventory!$O$2:$O$319,"Listed"))</x:f>
      </x:c>
    </x:row>
    <x:row r="133">
      <x:c r="A133" s="48" t="str">
        <x:v>Used</x:v>
      </x:c>
      <x:c r="B133" s="49" t="str">
        <x:v>Tesla</x:v>
      </x:c>
      <x:c r="C133" s="49" t="str">
        <x:v>Model 3</x:v>
      </x:c>
      <x:c r="D133" s="249" t="n">
        <x:f>COUNTIFS(Inventory!$G$2:$G$319,$A133,Inventory!$I$2:$I$319,$B133,Inventory!$J$2:$J$319,$C133)</x:f>
        <x:v>1</x:v>
      </x:c>
      <x:c r="E133" s="249" t="n">
        <x:f>COUNTIFS(Inventory!$G$2:$G$319,$A133,Inventory!$I$2:$I$319,$B133,Inventory!$J$2:$J$319,$C133,Inventory!$O$2:$O$319,"Listed")</x:f>
        <x:v>0</x:v>
      </x:c>
      <x:c r="F133" s="249" t="n">
        <x:f>COUNTIFS(Inventory!$G$2:$G$319,$A133,Inventory!$I$2:$I$319,$B133,Inventory!$J$2:$J$319,$C133,Inventory!$O$2:$O$319,"Price not exposed")</x:f>
        <x:v>1</x:v>
      </x:c>
      <x:c r="G133" s="257" t="str">
        <x:f>IF(E133=0,"",SUMIFS(Inventory!$N$2:$N$319,Inventory!$G$2:$G$319,$A133,Inventory!$I$2:$I$319,$B133,Inventory!$J$2:$J$319,$C133,Inventory!$O$2:$O$319,"Listed")/E133)</x:f>
      </x:c>
      <x:c r="H133" s="257" t="str">
        <x:f>IF(E133=0,"",MINIFS(Inventory!$N$2:$N$319,Inventory!$G$2:$G$319,$A133,Inventory!$I$2:$I$319,$B133,Inventory!$J$2:$J$319,$C133,Inventory!$O$2:$O$319,"Listed"))</x:f>
      </x:c>
      <x:c r="I133" s="269" t="str">
        <x:f>IF(E133=0,"",MAXIFS(Inventory!$N$2:$N$319,Inventory!$G$2:$G$319,$A133,Inventory!$I$2:$I$319,$B133,Inventory!$J$2:$J$319,$C133,Inventory!$O$2:$O$319,"Listed"))</x:f>
      </x:c>
    </x:row>
    <x:row r="134">
      <x:c r="A134" s="48" t="str">
        <x:v>Used</x:v>
      </x:c>
      <x:c r="B134" s="49" t="str">
        <x:v>Toyota</x:v>
      </x:c>
      <x:c r="C134" s="49" t="str">
        <x:v>Highlander</x:v>
      </x:c>
      <x:c r="D134" s="249" t="n">
        <x:f>COUNTIFS(Inventory!$G$2:$G$319,$A134,Inventory!$I$2:$I$319,$B134,Inventory!$J$2:$J$319,$C134)</x:f>
        <x:v>1</x:v>
      </x:c>
      <x:c r="E134" s="249" t="n">
        <x:f>COUNTIFS(Inventory!$G$2:$G$319,$A134,Inventory!$I$2:$I$319,$B134,Inventory!$J$2:$J$319,$C134,Inventory!$O$2:$O$319,"Listed")</x:f>
        <x:v>0</x:v>
      </x:c>
      <x:c r="F134" s="249" t="n">
        <x:f>COUNTIFS(Inventory!$G$2:$G$319,$A134,Inventory!$I$2:$I$319,$B134,Inventory!$J$2:$J$319,$C134,Inventory!$O$2:$O$319,"Price not exposed")</x:f>
        <x:v>1</x:v>
      </x:c>
      <x:c r="G134" s="257" t="str">
        <x:f>IF(E134=0,"",SUMIFS(Inventory!$N$2:$N$319,Inventory!$G$2:$G$319,$A134,Inventory!$I$2:$I$319,$B134,Inventory!$J$2:$J$319,$C134,Inventory!$O$2:$O$319,"Listed")/E134)</x:f>
      </x:c>
      <x:c r="H134" s="257" t="str">
        <x:f>IF(E134=0,"",MINIFS(Inventory!$N$2:$N$319,Inventory!$G$2:$G$319,$A134,Inventory!$I$2:$I$319,$B134,Inventory!$J$2:$J$319,$C134,Inventory!$O$2:$O$319,"Listed"))</x:f>
      </x:c>
      <x:c r="I134" s="269" t="str">
        <x:f>IF(E134=0,"",MAXIFS(Inventory!$N$2:$N$319,Inventory!$G$2:$G$319,$A134,Inventory!$I$2:$I$319,$B134,Inventory!$J$2:$J$319,$C134,Inventory!$O$2:$O$319,"Listed"))</x:f>
      </x:c>
    </x:row>
    <x:row r="135">
      <x:c r="A135" s="48" t="str">
        <x:v>Used</x:v>
      </x:c>
      <x:c r="B135" s="49" t="str">
        <x:v>Toyota</x:v>
      </x:c>
      <x:c r="C135" s="49" t="str">
        <x:v>Prius Prime</x:v>
      </x:c>
      <x:c r="D135" s="249" t="n">
        <x:f>COUNTIFS(Inventory!$G$2:$G$319,$A135,Inventory!$I$2:$I$319,$B135,Inventory!$J$2:$J$319,$C135)</x:f>
        <x:v>1</x:v>
      </x:c>
      <x:c r="E135" s="249" t="n">
        <x:f>COUNTIFS(Inventory!$G$2:$G$319,$A135,Inventory!$I$2:$I$319,$B135,Inventory!$J$2:$J$319,$C135,Inventory!$O$2:$O$319,"Listed")</x:f>
        <x:v>0</x:v>
      </x:c>
      <x:c r="F135" s="249" t="n">
        <x:f>COUNTIFS(Inventory!$G$2:$G$319,$A135,Inventory!$I$2:$I$319,$B135,Inventory!$J$2:$J$319,$C135,Inventory!$O$2:$O$319,"Price not exposed")</x:f>
        <x:v>1</x:v>
      </x:c>
      <x:c r="G135" s="257" t="str">
        <x:f>IF(E135=0,"",SUMIFS(Inventory!$N$2:$N$319,Inventory!$G$2:$G$319,$A135,Inventory!$I$2:$I$319,$B135,Inventory!$J$2:$J$319,$C135,Inventory!$O$2:$O$319,"Listed")/E135)</x:f>
      </x:c>
      <x:c r="H135" s="257" t="str">
        <x:f>IF(E135=0,"",MINIFS(Inventory!$N$2:$N$319,Inventory!$G$2:$G$319,$A135,Inventory!$I$2:$I$319,$B135,Inventory!$J$2:$J$319,$C135,Inventory!$O$2:$O$319,"Listed"))</x:f>
      </x:c>
      <x:c r="I135" s="269" t="str">
        <x:f>IF(E135=0,"",MAXIFS(Inventory!$N$2:$N$319,Inventory!$G$2:$G$319,$A135,Inventory!$I$2:$I$319,$B135,Inventory!$J$2:$J$319,$C135,Inventory!$O$2:$O$319,"Listed"))</x:f>
      </x:c>
    </x:row>
    <x:row r="136">
      <x:c r="A136" s="48" t="str">
        <x:v>Used</x:v>
      </x:c>
      <x:c r="B136" s="49" t="str">
        <x:v>Toyota</x:v>
      </x:c>
      <x:c r="C136" s="49" t="str">
        <x:v>RAV4</x:v>
      </x:c>
      <x:c r="D136" s="249" t="n">
        <x:f>COUNTIFS(Inventory!$G$2:$G$319,$A136,Inventory!$I$2:$I$319,$B136,Inventory!$J$2:$J$319,$C136)</x:f>
        <x:v>1</x:v>
      </x:c>
      <x:c r="E136" s="249" t="n">
        <x:f>COUNTIFS(Inventory!$G$2:$G$319,$A136,Inventory!$I$2:$I$319,$B136,Inventory!$J$2:$J$319,$C136,Inventory!$O$2:$O$319,"Listed")</x:f>
        <x:v>0</x:v>
      </x:c>
      <x:c r="F136" s="249" t="n">
        <x:f>COUNTIFS(Inventory!$G$2:$G$319,$A136,Inventory!$I$2:$I$319,$B136,Inventory!$J$2:$J$319,$C136,Inventory!$O$2:$O$319,"Price not exposed")</x:f>
        <x:v>1</x:v>
      </x:c>
      <x:c r="G136" s="257" t="str">
        <x:f>IF(E136=0,"",SUMIFS(Inventory!$N$2:$N$319,Inventory!$G$2:$G$319,$A136,Inventory!$I$2:$I$319,$B136,Inventory!$J$2:$J$319,$C136,Inventory!$O$2:$O$319,"Listed")/E136)</x:f>
      </x:c>
      <x:c r="H136" s="257" t="str">
        <x:f>IF(E136=0,"",MINIFS(Inventory!$N$2:$N$319,Inventory!$G$2:$G$319,$A136,Inventory!$I$2:$I$319,$B136,Inventory!$J$2:$J$319,$C136,Inventory!$O$2:$O$319,"Listed"))</x:f>
      </x:c>
      <x:c r="I136" s="269" t="str">
        <x:f>IF(E136=0,"",MAXIFS(Inventory!$N$2:$N$319,Inventory!$G$2:$G$319,$A136,Inventory!$I$2:$I$319,$B136,Inventory!$J$2:$J$319,$C136,Inventory!$O$2:$O$319,"Listed"))</x:f>
      </x:c>
    </x:row>
    <x:row r="137">
      <x:c r="A137" s="48" t="str">
        <x:v>Used</x:v>
      </x:c>
      <x:c r="B137" s="49" t="str">
        <x:v>Toyota</x:v>
      </x:c>
      <x:c r="C137" s="49" t="str">
        <x:v>Sienna</x:v>
      </x:c>
      <x:c r="D137" s="249" t="n">
        <x:f>COUNTIFS(Inventory!$G$2:$G$319,$A137,Inventory!$I$2:$I$319,$B137,Inventory!$J$2:$J$319,$C137)</x:f>
        <x:v>1</x:v>
      </x:c>
      <x:c r="E137" s="249" t="n">
        <x:f>COUNTIFS(Inventory!$G$2:$G$319,$A137,Inventory!$I$2:$I$319,$B137,Inventory!$J$2:$J$319,$C137,Inventory!$O$2:$O$319,"Listed")</x:f>
        <x:v>0</x:v>
      </x:c>
      <x:c r="F137" s="249" t="n">
        <x:f>COUNTIFS(Inventory!$G$2:$G$319,$A137,Inventory!$I$2:$I$319,$B137,Inventory!$J$2:$J$319,$C137,Inventory!$O$2:$O$319,"Price not exposed")</x:f>
        <x:v>1</x:v>
      </x:c>
      <x:c r="G137" s="257" t="str">
        <x:f>IF(E137=0,"",SUMIFS(Inventory!$N$2:$N$319,Inventory!$G$2:$G$319,$A137,Inventory!$I$2:$I$319,$B137,Inventory!$J$2:$J$319,$C137,Inventory!$O$2:$O$319,"Listed")/E137)</x:f>
      </x:c>
      <x:c r="H137" s="257" t="str">
        <x:f>IF(E137=0,"",MINIFS(Inventory!$N$2:$N$319,Inventory!$G$2:$G$319,$A137,Inventory!$I$2:$I$319,$B137,Inventory!$J$2:$J$319,$C137,Inventory!$O$2:$O$319,"Listed"))</x:f>
      </x:c>
      <x:c r="I137" s="269" t="str">
        <x:f>IF(E137=0,"",MAXIFS(Inventory!$N$2:$N$319,Inventory!$G$2:$G$319,$A137,Inventory!$I$2:$I$319,$B137,Inventory!$J$2:$J$319,$C137,Inventory!$O$2:$O$319,"Listed"))</x:f>
      </x:c>
    </x:row>
    <x:row r="138">
      <x:c r="A138" s="48" t="str">
        <x:v>Used</x:v>
      </x:c>
      <x:c r="B138" s="49" t="str">
        <x:v>Volkswagen</x:v>
      </x:c>
      <x:c r="C138" s="49" t="str">
        <x:v>Beetle</x:v>
      </x:c>
      <x:c r="D138" s="249" t="n">
        <x:f>COUNTIFS(Inventory!$G$2:$G$319,$A138,Inventory!$I$2:$I$319,$B138,Inventory!$J$2:$J$319,$C138)</x:f>
        <x:v>1</x:v>
      </x:c>
      <x:c r="E138" s="249" t="n">
        <x:f>COUNTIFS(Inventory!$G$2:$G$319,$A138,Inventory!$I$2:$I$319,$B138,Inventory!$J$2:$J$319,$C138,Inventory!$O$2:$O$319,"Listed")</x:f>
        <x:v>0</x:v>
      </x:c>
      <x:c r="F138" s="249" t="n">
        <x:f>COUNTIFS(Inventory!$G$2:$G$319,$A138,Inventory!$I$2:$I$319,$B138,Inventory!$J$2:$J$319,$C138,Inventory!$O$2:$O$319,"Price not exposed")</x:f>
        <x:v>1</x:v>
      </x:c>
      <x:c r="G138" s="257" t="str">
        <x:f>IF(E138=0,"",SUMIFS(Inventory!$N$2:$N$319,Inventory!$G$2:$G$319,$A138,Inventory!$I$2:$I$319,$B138,Inventory!$J$2:$J$319,$C138,Inventory!$O$2:$O$319,"Listed")/E138)</x:f>
      </x:c>
      <x:c r="H138" s="257" t="str">
        <x:f>IF(E138=0,"",MINIFS(Inventory!$N$2:$N$319,Inventory!$G$2:$G$319,$A138,Inventory!$I$2:$I$319,$B138,Inventory!$J$2:$J$319,$C138,Inventory!$O$2:$O$319,"Listed"))</x:f>
      </x:c>
      <x:c r="I138" s="269" t="str">
        <x:f>IF(E138=0,"",MAXIFS(Inventory!$N$2:$N$319,Inventory!$G$2:$G$319,$A138,Inventory!$I$2:$I$319,$B138,Inventory!$J$2:$J$319,$C138,Inventory!$O$2:$O$319,"Listed"))</x:f>
      </x:c>
    </x:row>
    <x:row r="139">
      <x:c r="A139" s="48" t="str">
        <x:v>Used</x:v>
      </x:c>
      <x:c r="B139" s="49" t="str">
        <x:v>Volkswagen</x:v>
      </x:c>
      <x:c r="C139" s="49" t="str">
        <x:v>Golf SportWagen</x:v>
      </x:c>
      <x:c r="D139" s="249" t="n">
        <x:f>COUNTIFS(Inventory!$G$2:$G$319,$A139,Inventory!$I$2:$I$319,$B139,Inventory!$J$2:$J$319,$C139)</x:f>
        <x:v>1</x:v>
      </x:c>
      <x:c r="E139" s="249" t="n">
        <x:f>COUNTIFS(Inventory!$G$2:$G$319,$A139,Inventory!$I$2:$I$319,$B139,Inventory!$J$2:$J$319,$C139,Inventory!$O$2:$O$319,"Listed")</x:f>
        <x:v>0</x:v>
      </x:c>
      <x:c r="F139" s="249" t="n">
        <x:f>COUNTIFS(Inventory!$G$2:$G$319,$A139,Inventory!$I$2:$I$319,$B139,Inventory!$J$2:$J$319,$C139,Inventory!$O$2:$O$319,"Price not exposed")</x:f>
        <x:v>1</x:v>
      </x:c>
      <x:c r="G139" s="257" t="str">
        <x:f>IF(E139=0,"",SUMIFS(Inventory!$N$2:$N$319,Inventory!$G$2:$G$319,$A139,Inventory!$I$2:$I$319,$B139,Inventory!$J$2:$J$319,$C139,Inventory!$O$2:$O$319,"Listed")/E139)</x:f>
      </x:c>
      <x:c r="H139" s="257" t="str">
        <x:f>IF(E139=0,"",MINIFS(Inventory!$N$2:$N$319,Inventory!$G$2:$G$319,$A139,Inventory!$I$2:$I$319,$B139,Inventory!$J$2:$J$319,$C139,Inventory!$O$2:$O$319,"Listed"))</x:f>
      </x:c>
      <x:c r="I139" s="269" t="str">
        <x:f>IF(E139=0,"",MAXIFS(Inventory!$N$2:$N$319,Inventory!$G$2:$G$319,$A139,Inventory!$I$2:$I$319,$B139,Inventory!$J$2:$J$319,$C139,Inventory!$O$2:$O$319,"Listed"))</x:f>
      </x:c>
    </x:row>
    <x:row r="140">
      <x:c r="A140" s="48" t="str">
        <x:v>Used</x:v>
      </x:c>
      <x:c r="B140" s="49" t="str">
        <x:v>Volkswagen</x:v>
      </x:c>
      <x:c r="C140" s="49" t="str">
        <x:v>Passat</x:v>
      </x:c>
      <x:c r="D140" s="249" t="n">
        <x:f>COUNTIFS(Inventory!$G$2:$G$319,$A140,Inventory!$I$2:$I$319,$B140,Inventory!$J$2:$J$319,$C140)</x:f>
        <x:v>1</x:v>
      </x:c>
      <x:c r="E140" s="249" t="n">
        <x:f>COUNTIFS(Inventory!$G$2:$G$319,$A140,Inventory!$I$2:$I$319,$B140,Inventory!$J$2:$J$319,$C140,Inventory!$O$2:$O$319,"Listed")</x:f>
        <x:v>0</x:v>
      </x:c>
      <x:c r="F140" s="249" t="n">
        <x:f>COUNTIFS(Inventory!$G$2:$G$319,$A140,Inventory!$I$2:$I$319,$B140,Inventory!$J$2:$J$319,$C140,Inventory!$O$2:$O$319,"Price not exposed")</x:f>
        <x:v>1</x:v>
      </x:c>
      <x:c r="G140" s="257" t="str">
        <x:f>IF(E140=0,"",SUMIFS(Inventory!$N$2:$N$319,Inventory!$G$2:$G$319,$A140,Inventory!$I$2:$I$319,$B140,Inventory!$J$2:$J$319,$C140,Inventory!$O$2:$O$319,"Listed")/E140)</x:f>
      </x:c>
      <x:c r="H140" s="257" t="str">
        <x:f>IF(E140=0,"",MINIFS(Inventory!$N$2:$N$319,Inventory!$G$2:$G$319,$A140,Inventory!$I$2:$I$319,$B140,Inventory!$J$2:$J$319,$C140,Inventory!$O$2:$O$319,"Listed"))</x:f>
      </x:c>
      <x:c r="I140" s="269" t="str">
        <x:f>IF(E140=0,"",MAXIFS(Inventory!$N$2:$N$319,Inventory!$G$2:$G$319,$A140,Inventory!$I$2:$I$319,$B140,Inventory!$J$2:$J$319,$C140,Inventory!$O$2:$O$319,"Listed"))</x:f>
      </x:c>
    </x:row>
    <x:row r="141">
      <x:c r="A141" s="48" t="str">
        <x:v>Used</x:v>
      </x:c>
      <x:c r="B141" s="49" t="str">
        <x:v>Volvo</x:v>
      </x:c>
      <x:c r="C141" s="49" t="str">
        <x:v>S60</x:v>
      </x:c>
      <x:c r="D141" s="249" t="n">
        <x:f>COUNTIFS(Inventory!$G$2:$G$319,$A141,Inventory!$I$2:$I$319,$B141,Inventory!$J$2:$J$319,$C141)</x:f>
        <x:v>1</x:v>
      </x:c>
      <x:c r="E141" s="249" t="n">
        <x:f>COUNTIFS(Inventory!$G$2:$G$319,$A141,Inventory!$I$2:$I$319,$B141,Inventory!$J$2:$J$319,$C141,Inventory!$O$2:$O$319,"Listed")</x:f>
        <x:v>0</x:v>
      </x:c>
      <x:c r="F141" s="249" t="n">
        <x:f>COUNTIFS(Inventory!$G$2:$G$319,$A141,Inventory!$I$2:$I$319,$B141,Inventory!$J$2:$J$319,$C141,Inventory!$O$2:$O$319,"Price not exposed")</x:f>
        <x:v>1</x:v>
      </x:c>
      <x:c r="G141" s="257" t="str">
        <x:f>IF(E141=0,"",SUMIFS(Inventory!$N$2:$N$319,Inventory!$G$2:$G$319,$A141,Inventory!$I$2:$I$319,$B141,Inventory!$J$2:$J$319,$C141,Inventory!$O$2:$O$319,"Listed")/E141)</x:f>
      </x:c>
      <x:c r="H141" s="257" t="str">
        <x:f>IF(E141=0,"",MINIFS(Inventory!$N$2:$N$319,Inventory!$G$2:$G$319,$A141,Inventory!$I$2:$I$319,$B141,Inventory!$J$2:$J$319,$C141,Inventory!$O$2:$O$319,"Listed"))</x:f>
      </x:c>
      <x:c r="I141" s="269" t="str">
        <x:f>IF(E141=0,"",MAXIFS(Inventory!$N$2:$N$319,Inventory!$G$2:$G$319,$A141,Inventory!$I$2:$I$319,$B141,Inventory!$J$2:$J$319,$C141,Inventory!$O$2:$O$319,"Listed"))</x:f>
      </x:c>
    </x:row>
    <x:row r="142">
      <x:c r="A142" s="48" t="str">
        <x:v>Used</x:v>
      </x:c>
      <x:c r="B142" s="49" t="str">
        <x:v>Volvo</x:v>
      </x:c>
      <x:c r="C142" s="49" t="str">
        <x:v>V60 Cross Country</x:v>
      </x:c>
      <x:c r="D142" s="249" t="n">
        <x:f>COUNTIFS(Inventory!$G$2:$G$319,$A142,Inventory!$I$2:$I$319,$B142,Inventory!$J$2:$J$319,$C142)</x:f>
        <x:v>1</x:v>
      </x:c>
      <x:c r="E142" s="249" t="n">
        <x:f>COUNTIFS(Inventory!$G$2:$G$319,$A142,Inventory!$I$2:$I$319,$B142,Inventory!$J$2:$J$319,$C142,Inventory!$O$2:$O$319,"Listed")</x:f>
        <x:v>0</x:v>
      </x:c>
      <x:c r="F142" s="249" t="n">
        <x:f>COUNTIFS(Inventory!$G$2:$G$319,$A142,Inventory!$I$2:$I$319,$B142,Inventory!$J$2:$J$319,$C142,Inventory!$O$2:$O$319,"Price not exposed")</x:f>
        <x:v>1</x:v>
      </x:c>
      <x:c r="G142" s="257" t="str">
        <x:f>IF(E142=0,"",SUMIFS(Inventory!$N$2:$N$319,Inventory!$G$2:$G$319,$A142,Inventory!$I$2:$I$319,$B142,Inventory!$J$2:$J$319,$C142,Inventory!$O$2:$O$319,"Listed")/E142)</x:f>
      </x:c>
      <x:c r="H142" s="257" t="str">
        <x:f>IF(E142=0,"",MINIFS(Inventory!$N$2:$N$319,Inventory!$G$2:$G$319,$A142,Inventory!$I$2:$I$319,$B142,Inventory!$J$2:$J$319,$C142,Inventory!$O$2:$O$319,"Listed"))</x:f>
      </x:c>
      <x:c r="I142" s="269" t="str">
        <x:f>IF(E142=0,"",MAXIFS(Inventory!$N$2:$N$319,Inventory!$G$2:$G$319,$A142,Inventory!$I$2:$I$319,$B142,Inventory!$J$2:$J$319,$C142,Inventory!$O$2:$O$319,"Listed"))</x:f>
      </x:c>
    </x:row>
    <x:row r="143">
      <x:c r="A143" s="50" t="str">
        <x:v>Used</x:v>
      </x:c>
      <x:c r="B143" s="51" t="str">
        <x:v>Volvo</x:v>
      </x:c>
      <x:c r="C143" s="51" t="str">
        <x:v>XC60</x:v>
      </x:c>
      <x:c r="D143" s="335" t="n">
        <x:f>COUNTIFS(Inventory!$G$2:$G$319,$A143,Inventory!$I$2:$I$319,$B143,Inventory!$J$2:$J$319,$C143)</x:f>
        <x:v>1</x:v>
      </x:c>
      <x:c r="E143" s="335" t="n">
        <x:f>COUNTIFS(Inventory!$G$2:$G$319,$A143,Inventory!$I$2:$I$319,$B143,Inventory!$J$2:$J$319,$C143,Inventory!$O$2:$O$319,"Listed")</x:f>
        <x:v>0</x:v>
      </x:c>
      <x:c r="F143" s="335" t="n">
        <x:f>COUNTIFS(Inventory!$G$2:$G$319,$A143,Inventory!$I$2:$I$319,$B143,Inventory!$J$2:$J$319,$C143,Inventory!$O$2:$O$319,"Price not exposed")</x:f>
        <x:v>1</x:v>
      </x:c>
      <x:c r="G143" s="337" t="str">
        <x:f>IF(E143=0,"",SUMIFS(Inventory!$N$2:$N$319,Inventory!$G$2:$G$319,$A143,Inventory!$I$2:$I$319,$B143,Inventory!$J$2:$J$319,$C143,Inventory!$O$2:$O$319,"Listed")/E143)</x:f>
      </x:c>
      <x:c r="H143" s="337" t="str">
        <x:f>IF(E143=0,"",MINIFS(Inventory!$N$2:$N$319,Inventory!$G$2:$G$319,$A143,Inventory!$I$2:$I$319,$B143,Inventory!$J$2:$J$319,$C143,Inventory!$O$2:$O$319,"Listed"))</x:f>
      </x:c>
      <x:c r="I143" s="270" t="str">
        <x:f>IF(E143=0,"",MAXIFS(Inventory!$N$2:$N$319,Inventory!$G$2:$G$319,$A143,Inventory!$I$2:$I$319,$B143,Inventory!$J$2:$J$319,$C143,Inventory!$O$2:$O$319,"Listed"))</x:f>
      </x:c>
    </x:row>
  </x:sheetData>
  <x:mergeCells>
    <x:mergeCell ref="A1:I2"/>
  </x:mergeCells>
  <x:conditionalFormatting sqref="F5:F143">
    <x:cfRule type="dataBar" priority="1">
      <x:dataBar>
        <x:cfvo type="min"/>
        <x:cfvo type="max"/>
        <x:color rgb="FFB7791F"/>
      </x:dataBar>
      <x:extLst>
        <x:ext xmlns:x14="http://schemas.microsoft.com/office/spreadsheetml/2009/9/main" uri="{B025F937-C7B1-47D3-B67F-A62EFF666E3E}">
          <x14:id>{A39518FA-A5D0-96DB-321D-51E754A79860}</x14:id>
        </x:ext>
      </x:extLst>
    </x:cfRule>
  </x:conditionalFormatting>
  <x:pageMargins left="0.7" right="0.7" top="0.75" bottom="0.75" header="0.3" footer="0.3"/>
  <x:tableParts count="1">
    <x:tablePart xmlns:r="http://schemas.openxmlformats.org/officeDocument/2006/relationships" r:id="R4cad9627001a4859"/>
  </x:tableParts>
  <x:extLst>
    <x:ext xmlns:x14="http://schemas.microsoft.com/office/spreadsheetml/2009/9/main" xmlns:xm="http://schemas.microsoft.com/office/excel/2006/main" uri="{78C0D931-6437-407d-A8EE-F0AAD7539E65}">
      <x14:conditionalFormattings>
        <x14:conditionalFormatting>
          <x14:cfRule type="dataBar" priority="1" id="{A39518FA-A5D0-96DB-321D-51E754A79860}">
            <x14:dataBar gradient="1">
              <x14:cfvo type="min"/>
              <x14:cfvo type="max"/>
              <x14:fillColor rgb="FFB7791F"/>
            </x14:dataBar>
          </x14:cfRule>
          <xm:sqref>F5:F143</xm:sqref>
        </x14:conditionalFormatting>
      </x14:conditionalFormattings>
    </x:ext>
  </x:extLst>
</x:worksheet>
</file>